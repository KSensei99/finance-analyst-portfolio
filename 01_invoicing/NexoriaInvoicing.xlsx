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Template" sheetId="1" state="visible" r:id="rId1"/>
    <sheet name="TaxRates" sheetId="2" state="visible" r:id="rId2"/>
    <sheet name="Orders" sheetId="3" state="visible" r:id="rId3"/>
    <sheet name="Log" sheetId="4" state="visible" r:id="rId4"/>
  </sheets>
  <definedNames>
    <definedName name="_xlnm.Print_Area" localSheetId="0">'InvoiceTemplate'!$A$1:$G$37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;($#,##0.00);-"/>
    <numFmt numFmtId="165" formatCode="0.000%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b val="1"/>
      <color rgb="00FFFFFF"/>
      <sz val="28"/>
    </font>
    <font>
      <name val="Calibri"/>
      <i val="1"/>
      <color rgb="00FFFFFF"/>
      <sz val="9"/>
    </font>
    <font>
      <name val="Calibri"/>
      <b val="1"/>
      <color rgb="00374151"/>
      <sz val="9"/>
    </font>
    <font>
      <name val="Calibri"/>
      <color rgb="000000FF"/>
      <sz val="10"/>
    </font>
    <font>
      <name val="Calibri"/>
      <b val="1"/>
      <color rgb="002E86AB"/>
      <sz val="9"/>
    </font>
    <font>
      <name val="Calibri"/>
      <color rgb="000000FF"/>
      <sz val="9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i val="1"/>
      <color rgb="006B7280"/>
      <sz val="8"/>
    </font>
    <font>
      <name val="Calibri"/>
      <color rgb="006B7280"/>
      <sz val="8"/>
    </font>
    <font>
      <name val="Calibri"/>
      <sz val="10"/>
    </font>
    <font>
      <name val="Calibri"/>
      <sz val="9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2E86AB"/>
      </patternFill>
    </fill>
    <fill>
      <patternFill patternType="solid">
        <fgColor rgb="00F0F4F8"/>
      </patternFill>
    </fill>
    <fill>
      <patternFill patternType="solid">
        <fgColor rgb="00F7FAFC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/>
      <right/>
      <top style="thin">
        <color rgb="00B0BEC5"/>
      </top>
      <bottom style="thin">
        <color rgb="00B0BEC5"/>
      </bottom>
      <diagonal/>
    </border>
    <border>
      <left/>
      <right style="thin">
        <color rgb="00B0BEC5"/>
      </right>
      <top style="thin">
        <color rgb="00B0BEC5"/>
      </top>
      <bottom style="thin">
        <color rgb="00B0BEC5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 indent="2"/>
    </xf>
    <xf numFmtId="0" fontId="3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4" fillId="4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7" fillId="0" borderId="1" applyAlignment="1" pivotButton="0" quotePrefix="0" xfId="0">
      <alignment horizontal="left" vertical="top" wrapText="1" indent="1"/>
    </xf>
    <xf numFmtId="0" fontId="8" fillId="2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3" fontId="7" fillId="5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center" vertical="center"/>
    </xf>
    <xf numFmtId="164" fontId="9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3" fontId="0" fillId="6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164" fontId="9" fillId="6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0" borderId="1" pivotButton="0" quotePrefix="0" xfId="0"/>
    <xf numFmtId="164" fontId="10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0" fillId="2" borderId="1" pivotButton="0" quotePrefix="0" xfId="0"/>
    <xf numFmtId="0" fontId="11" fillId="2" borderId="1" applyAlignment="1" pivotButton="0" quotePrefix="0" xfId="0">
      <alignment horizontal="right" vertical="center"/>
    </xf>
    <xf numFmtId="164" fontId="12" fillId="2" borderId="1" applyAlignment="1" pivotButton="0" quotePrefix="0" xfId="0">
      <alignment horizontal="right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5" fillId="0" borderId="0" pivotButton="0" quotePrefix="0" xfId="0"/>
    <xf numFmtId="165" fontId="15" fillId="0" borderId="0" pivotButton="0" quotePrefix="0" xfId="0"/>
    <xf numFmtId="0" fontId="11" fillId="2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6" fillId="0" borderId="0" pivotButton="0" quotePrefix="0" xfId="0"/>
    <xf numFmtId="3" fontId="16" fillId="0" borderId="0" applyAlignment="1" pivotButton="0" quotePrefix="0" xfId="0">
      <alignment horizontal="right"/>
    </xf>
    <xf numFmtId="164" fontId="16" fillId="0" borderId="0" applyAlignment="1" pivotButton="0" quotePrefix="0" xfId="0">
      <alignment horizontal="right"/>
    </xf>
    <xf numFmtId="165" fontId="16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12" customWidth="1" min="4" max="4"/>
    <col width="16" customWidth="1" min="5" max="5"/>
    <col width="16" customWidth="1" min="6" max="6"/>
    <col width="16" customWidth="1" min="7" max="7"/>
  </cols>
  <sheetData>
    <row r="1" ht="60" customHeight="1">
      <c r="A1" s="1" t="inlineStr">
        <is>
          <t>NEXORIA COMMERCE INC.</t>
        </is>
      </c>
      <c r="E1" s="2" t="inlineStr">
        <is>
          <t>INVOICE</t>
        </is>
      </c>
    </row>
    <row r="2" ht="22" customHeight="1">
      <c r="A2" s="3" t="inlineStr">
        <is>
          <t>1234 Commerce Way, Suite 100 | Austin, TX 78701</t>
        </is>
      </c>
      <c r="E2" s="4" t="inlineStr">
        <is>
          <t>www.nexoriacommerce.com</t>
        </is>
      </c>
    </row>
    <row r="3" ht="16" customHeight="1">
      <c r="E3" s="4" t="inlineStr">
        <is>
          <t>billing@nexoriacommerce.com | (800) 555-0100</t>
        </is>
      </c>
    </row>
    <row r="4" ht="5" customHeight="1">
      <c r="A4" s="5" t="n"/>
    </row>
    <row r="5" ht="16" customHeight="1">
      <c r="A5" s="6" t="inlineStr">
        <is>
          <t>Invoice #:</t>
        </is>
      </c>
      <c r="B5" s="7" t="inlineStr">
        <is>
          <t>INV-000001</t>
        </is>
      </c>
      <c r="E5" s="6" t="inlineStr">
        <is>
          <t>Status:</t>
        </is>
      </c>
      <c r="F5" s="7" t="inlineStr">
        <is>
          <t>PAID</t>
        </is>
      </c>
    </row>
    <row r="6" ht="16" customHeight="1">
      <c r="A6" s="6" t="inlineStr">
        <is>
          <t>Order Ref:</t>
        </is>
      </c>
      <c r="B6" s="7" t="inlineStr">
        <is>
          <t>ORD-000001</t>
        </is>
      </c>
      <c r="E6" s="6" t="inlineStr">
        <is>
          <t>Terms:</t>
        </is>
      </c>
      <c r="F6" s="7" t="inlineStr">
        <is>
          <t>Net 30</t>
        </is>
      </c>
    </row>
    <row r="7" ht="16" customHeight="1">
      <c r="A7" s="6" t="inlineStr">
        <is>
          <t>Invoice Date:</t>
        </is>
      </c>
      <c r="B7" s="7" t="inlineStr">
        <is>
          <t>2024-01-15</t>
        </is>
      </c>
      <c r="E7" s="6" t="inlineStr">
        <is>
          <t>Carrier:</t>
        </is>
      </c>
      <c r="F7" s="7" t="inlineStr">
        <is>
          <t>FedEx</t>
        </is>
      </c>
    </row>
    <row r="8" ht="16" customHeight="1">
      <c r="A8" s="6" t="inlineStr">
        <is>
          <t>Due Date:</t>
        </is>
      </c>
      <c r="B8" s="7" t="inlineStr">
        <is>
          <t>2024-02-14</t>
        </is>
      </c>
      <c r="E8" s="6" t="inlineStr">
        <is>
          <t>Tracking #:</t>
        </is>
      </c>
      <c r="F8" s="7" t="inlineStr">
        <is>
          <t>ABC123456789</t>
        </is>
      </c>
    </row>
    <row r="9" ht="14" customHeight="1">
      <c r="A9" s="8" t="inlineStr">
        <is>
          <t>BILL TO</t>
        </is>
      </c>
      <c r="B9" s="9" t="n"/>
      <c r="C9" s="9" t="n"/>
      <c r="D9" s="10" t="n"/>
      <c r="E9" s="8" t="inlineStr">
        <is>
          <t>SHIP TO (if different)</t>
        </is>
      </c>
      <c r="F9" s="9" t="n"/>
      <c r="G9" s="10" t="n"/>
    </row>
    <row r="10" ht="40" customHeight="1">
      <c r="A10" s="11" t="inlineStr">
        <is>
          <t>John Smith
Acme Corp
123 Main St, New York, NY 10001</t>
        </is>
      </c>
      <c r="B10" s="9" t="n"/>
      <c r="C10" s="9" t="n"/>
      <c r="D10" s="10" t="n"/>
      <c r="E10" s="11" t="inlineStr">
        <is>
          <t>Same as billing address</t>
        </is>
      </c>
      <c r="F10" s="9" t="n"/>
      <c r="G10" s="10" t="n"/>
    </row>
    <row r="11" ht="20" customHeight="1">
      <c r="A11" s="12" t="inlineStr">
        <is>
          <t>SKU</t>
        </is>
      </c>
      <c r="B11" s="12" t="inlineStr">
        <is>
          <t>Description</t>
        </is>
      </c>
      <c r="C11" s="12" t="inlineStr">
        <is>
          <t>Category</t>
        </is>
      </c>
      <c r="D11" s="12" t="inlineStr">
        <is>
          <t>Qty</t>
        </is>
      </c>
      <c r="E11" s="12" t="inlineStr">
        <is>
          <t>Unit Price ($)</t>
        </is>
      </c>
      <c r="F11" s="12" t="inlineStr">
        <is>
          <t>Line Total ($)</t>
        </is>
      </c>
      <c r="G11" s="12" t="inlineStr">
        <is>
          <t>Taxable?</t>
        </is>
      </c>
    </row>
    <row r="12" ht="16" customHeight="1">
      <c r="A12" s="13" t="inlineStr">
        <is>
          <t>PRD-XXXX</t>
        </is>
      </c>
      <c r="B12" s="13" t="inlineStr">
        <is>
          <t>Product Description</t>
        </is>
      </c>
      <c r="C12" s="13" t="inlineStr">
        <is>
          <t>Electronics</t>
        </is>
      </c>
      <c r="D12" s="14" t="n">
        <v>1</v>
      </c>
      <c r="E12" s="15" t="n">
        <v>0</v>
      </c>
      <c r="F12" s="16">
        <f>IFERROR(D12*E12,"")</f>
        <v/>
      </c>
      <c r="G12" s="13" t="inlineStr">
        <is>
          <t>Yes</t>
        </is>
      </c>
    </row>
    <row r="13" ht="16" customHeight="1">
      <c r="A13" s="17" t="n"/>
      <c r="B13" s="17" t="n"/>
      <c r="C13" s="17" t="n"/>
      <c r="D13" s="18" t="n"/>
      <c r="E13" s="19" t="n"/>
      <c r="F13" s="20">
        <f>IFERROR(D13*E13,"")</f>
        <v/>
      </c>
      <c r="G13" s="17" t="n"/>
    </row>
    <row r="14" ht="16" customHeight="1">
      <c r="A14" s="21" t="n"/>
      <c r="B14" s="21" t="n"/>
      <c r="C14" s="21" t="n"/>
      <c r="D14" s="22" t="n"/>
      <c r="E14" s="23" t="n"/>
      <c r="F14" s="16">
        <f>IFERROR(D14*E14,"")</f>
        <v/>
      </c>
      <c r="G14" s="21" t="n"/>
    </row>
    <row r="15" ht="16" customHeight="1">
      <c r="A15" s="17" t="n"/>
      <c r="B15" s="17" t="n"/>
      <c r="C15" s="17" t="n"/>
      <c r="D15" s="18" t="n"/>
      <c r="E15" s="19" t="n"/>
      <c r="F15" s="20">
        <f>IFERROR(D15*E15,"")</f>
        <v/>
      </c>
      <c r="G15" s="17" t="n"/>
    </row>
    <row r="16" ht="16" customHeight="1">
      <c r="A16" s="21" t="n"/>
      <c r="B16" s="21" t="n"/>
      <c r="C16" s="21" t="n"/>
      <c r="D16" s="22" t="n"/>
      <c r="E16" s="23" t="n"/>
      <c r="F16" s="16">
        <f>IFERROR(D16*E16,"")</f>
        <v/>
      </c>
      <c r="G16" s="21" t="n"/>
    </row>
    <row r="17" ht="16" customHeight="1">
      <c r="A17" s="17" t="n"/>
      <c r="B17" s="17" t="n"/>
      <c r="C17" s="17" t="n"/>
      <c r="D17" s="18" t="n"/>
      <c r="E17" s="19" t="n"/>
      <c r="F17" s="20">
        <f>IFERROR(D17*E17,"")</f>
        <v/>
      </c>
      <c r="G17" s="17" t="n"/>
    </row>
    <row r="18" ht="16" customHeight="1">
      <c r="A18" s="21" t="n"/>
      <c r="B18" s="21" t="n"/>
      <c r="C18" s="21" t="n"/>
      <c r="D18" s="22" t="n"/>
      <c r="E18" s="23" t="n"/>
      <c r="F18" s="16">
        <f>IFERROR(D18*E18,"")</f>
        <v/>
      </c>
      <c r="G18" s="21" t="n"/>
    </row>
    <row r="19" ht="16" customHeight="1">
      <c r="A19" s="17" t="n"/>
      <c r="B19" s="17" t="n"/>
      <c r="C19" s="17" t="n"/>
      <c r="D19" s="18" t="n"/>
      <c r="E19" s="19" t="n"/>
      <c r="F19" s="20">
        <f>IFERROR(D19*E19,"")</f>
        <v/>
      </c>
      <c r="G19" s="17" t="n"/>
    </row>
    <row r="20" ht="16" customHeight="1">
      <c r="A20" s="21" t="n"/>
      <c r="B20" s="21" t="n"/>
      <c r="C20" s="21" t="n"/>
      <c r="D20" s="22" t="n"/>
      <c r="E20" s="23" t="n"/>
      <c r="F20" s="16">
        <f>IFERROR(D20*E20,"")</f>
        <v/>
      </c>
      <c r="G20" s="21" t="n"/>
    </row>
    <row r="21" ht="16" customHeight="1">
      <c r="A21" s="17" t="n"/>
      <c r="B21" s="17" t="n"/>
      <c r="C21" s="17" t="n"/>
      <c r="D21" s="18" t="n"/>
      <c r="E21" s="19" t="n"/>
      <c r="F21" s="20">
        <f>IFERROR(D21*E21,"")</f>
        <v/>
      </c>
      <c r="G21" s="17" t="n"/>
    </row>
    <row r="22" ht="16" customHeight="1">
      <c r="A22" s="21" t="n"/>
      <c r="B22" s="21" t="n"/>
      <c r="C22" s="21" t="n"/>
      <c r="D22" s="22" t="n"/>
      <c r="E22" s="23" t="n"/>
      <c r="F22" s="16">
        <f>IFERROR(D22*E22,"")</f>
        <v/>
      </c>
      <c r="G22" s="21" t="n"/>
    </row>
    <row r="23" ht="16" customHeight="1">
      <c r="A23" s="17" t="n"/>
      <c r="B23" s="17" t="n"/>
      <c r="C23" s="17" t="n"/>
      <c r="D23" s="18" t="n"/>
      <c r="E23" s="19" t="n"/>
      <c r="F23" s="20">
        <f>IFERROR(D23*E23,"")</f>
        <v/>
      </c>
      <c r="G23" s="17" t="n"/>
    </row>
    <row r="24" ht="16" customHeight="1">
      <c r="A24" s="21" t="n"/>
      <c r="B24" s="21" t="n"/>
      <c r="C24" s="21" t="n"/>
      <c r="D24" s="22" t="n"/>
      <c r="E24" s="23" t="n"/>
      <c r="F24" s="16">
        <f>IFERROR(D24*E24,"")</f>
        <v/>
      </c>
      <c r="G24" s="21" t="n"/>
    </row>
    <row r="25" ht="16" customHeight="1">
      <c r="A25" s="17" t="n"/>
      <c r="B25" s="17" t="n"/>
      <c r="C25" s="17" t="n"/>
      <c r="D25" s="18" t="n"/>
      <c r="E25" s="19" t="n"/>
      <c r="F25" s="20">
        <f>IFERROR(D25*E25,"")</f>
        <v/>
      </c>
      <c r="G25" s="17" t="n"/>
    </row>
    <row r="26" ht="16" customHeight="1">
      <c r="A26" s="21" t="n"/>
      <c r="B26" s="21" t="n"/>
      <c r="C26" s="21" t="n"/>
      <c r="D26" s="22" t="n"/>
      <c r="E26" s="23" t="n"/>
      <c r="F26" s="16">
        <f>IFERROR(D26*E26,"")</f>
        <v/>
      </c>
      <c r="G26" s="21" t="n"/>
    </row>
    <row r="27" ht="16" customHeight="1"/>
    <row r="28" ht="20" customHeight="1">
      <c r="A28" s="24" t="n"/>
      <c r="B28" s="24" t="n"/>
      <c r="C28" s="24" t="n"/>
      <c r="D28" s="24" t="n"/>
      <c r="E28" s="6" t="inlineStr">
        <is>
          <t>Subtotal:</t>
        </is>
      </c>
      <c r="F28" s="10" t="n"/>
      <c r="G28" s="25">
        <f>IFERROR(SUM(F12:F26),"")</f>
        <v/>
      </c>
    </row>
    <row r="29" ht="16" customHeight="1">
      <c r="A29" s="24" t="n"/>
      <c r="B29" s="24" t="n"/>
      <c r="C29" s="24" t="n"/>
      <c r="D29" s="24" t="n"/>
      <c r="E29" s="6" t="inlineStr">
        <is>
          <t>Taxable Amount:</t>
        </is>
      </c>
      <c r="F29" s="10" t="n"/>
      <c r="G29" s="25">
        <f>IFERROR(SUMIF(G12:G26,"Yes",F12:F26),"")</f>
        <v/>
      </c>
    </row>
    <row r="30" ht="16" customHeight="1">
      <c r="A30" s="24" t="n"/>
      <c r="B30" s="24" t="n"/>
      <c r="C30" s="24" t="n"/>
      <c r="D30" s="24" t="n"/>
      <c r="E30" s="6" t="inlineStr">
        <is>
          <t>Tax Rate (%):</t>
        </is>
      </c>
      <c r="F30" s="10" t="n"/>
      <c r="G30" s="26" t="n">
        <v>0</v>
      </c>
    </row>
    <row r="31" ht="16" customHeight="1">
      <c r="A31" s="24" t="n"/>
      <c r="B31" s="24" t="n"/>
      <c r="C31" s="24" t="n"/>
      <c r="D31" s="24" t="n"/>
      <c r="E31" s="6" t="inlineStr">
        <is>
          <t>Sales Tax:</t>
        </is>
      </c>
      <c r="F31" s="10" t="n"/>
      <c r="G31" s="25">
        <f>IFERROR(G29*G30,"")</f>
        <v/>
      </c>
    </row>
    <row r="32" ht="16" customHeight="1">
      <c r="A32" s="24" t="n"/>
      <c r="B32" s="24" t="n"/>
      <c r="C32" s="24" t="n"/>
      <c r="D32" s="24" t="n"/>
      <c r="E32" s="6" t="inlineStr">
        <is>
          <t>Shipping:</t>
        </is>
      </c>
      <c r="F32" s="10" t="n"/>
      <c r="G32" s="27" t="n">
        <v>0</v>
      </c>
    </row>
    <row r="33" ht="16" customHeight="1">
      <c r="A33" s="28" t="n"/>
      <c r="B33" s="28" t="n"/>
      <c r="C33" s="28" t="n"/>
      <c r="D33" s="28" t="n"/>
      <c r="E33" s="29" t="inlineStr">
        <is>
          <t>INVOICE TOTAL:</t>
        </is>
      </c>
      <c r="F33" s="10" t="n"/>
      <c r="G33" s="30">
        <f>IFERROR(G28+G31+G32,"")</f>
        <v/>
      </c>
    </row>
    <row r="34" ht="16" customHeight="1"/>
    <row r="35" ht="5" customHeight="1">
      <c r="A35" s="5" t="n"/>
    </row>
    <row r="36" ht="16" customHeight="1">
      <c r="A36" s="31" t="inlineStr">
        <is>
          <t>Thank you for your business! Payment via ACH, Wire, or Check. For questions: billing@nexoriacommerce.com</t>
        </is>
      </c>
    </row>
    <row r="37" ht="16" customHeight="1">
      <c r="A37" s="32" t="inlineStr">
        <is>
          <t>Make checks payable to: Nexoria Commerce Inc. | Bank: First National Bank | Routing: 021000021 | Account: 1234567890</t>
        </is>
      </c>
    </row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</sheetData>
  <mergeCells count="20">
    <mergeCell ref="E10:G10"/>
    <mergeCell ref="E33:F33"/>
    <mergeCell ref="A35:G35"/>
    <mergeCell ref="A4:G4"/>
    <mergeCell ref="E9:G9"/>
    <mergeCell ref="A10:D10"/>
    <mergeCell ref="E2:G2"/>
    <mergeCell ref="A9:D9"/>
    <mergeCell ref="E29:F29"/>
    <mergeCell ref="E28:F28"/>
    <mergeCell ref="A2:D3"/>
    <mergeCell ref="E31:F31"/>
    <mergeCell ref="G5:G8"/>
    <mergeCell ref="A1:D1"/>
    <mergeCell ref="A36:G36"/>
    <mergeCell ref="E30:F30"/>
    <mergeCell ref="E3:G3"/>
    <mergeCell ref="A37:G37"/>
    <mergeCell ref="E32:F32"/>
    <mergeCell ref="E1:G1"/>
  </mergeCells>
  <pageMargins left="0.5" right="0.5" top="1" bottom="1" header="0.5" footer="0.5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</cols>
  <sheetData>
    <row r="1">
      <c r="A1" t="inlineStr">
        <is>
          <t>State</t>
        </is>
      </c>
      <c r="B1" t="inlineStr">
        <is>
          <t>Tax Rate</t>
        </is>
      </c>
    </row>
    <row r="2">
      <c r="A2" s="33" t="inlineStr">
        <is>
          <t>AL</t>
        </is>
      </c>
      <c r="B2" s="34" t="n">
        <v>0.04</v>
      </c>
    </row>
    <row r="3">
      <c r="A3" s="33" t="inlineStr">
        <is>
          <t>AZ</t>
        </is>
      </c>
      <c r="B3" s="34" t="n">
        <v>0.056</v>
      </c>
    </row>
    <row r="4">
      <c r="A4" s="33" t="inlineStr">
        <is>
          <t>AR</t>
        </is>
      </c>
      <c r="B4" s="34" t="n">
        <v>0.065</v>
      </c>
    </row>
    <row r="5">
      <c r="A5" s="33" t="inlineStr">
        <is>
          <t>CA</t>
        </is>
      </c>
      <c r="B5" s="34" t="n">
        <v>0.0725</v>
      </c>
    </row>
    <row r="6">
      <c r="A6" s="33" t="inlineStr">
        <is>
          <t>CO</t>
        </is>
      </c>
      <c r="B6" s="34" t="n">
        <v>0.029</v>
      </c>
    </row>
    <row r="7">
      <c r="A7" s="33" t="inlineStr">
        <is>
          <t>CT</t>
        </is>
      </c>
      <c r="B7" s="34" t="n">
        <v>0.0635</v>
      </c>
    </row>
    <row r="8">
      <c r="A8" s="33" t="inlineStr">
        <is>
          <t>FL</t>
        </is>
      </c>
      <c r="B8" s="34" t="n">
        <v>0.06</v>
      </c>
    </row>
    <row r="9">
      <c r="A9" s="33" t="inlineStr">
        <is>
          <t>GA</t>
        </is>
      </c>
      <c r="B9" s="34" t="n">
        <v>0.04</v>
      </c>
    </row>
    <row r="10">
      <c r="A10" s="33" t="inlineStr">
        <is>
          <t>HI</t>
        </is>
      </c>
      <c r="B10" s="34" t="n">
        <v>0.04</v>
      </c>
    </row>
    <row r="11">
      <c r="A11" s="33" t="inlineStr">
        <is>
          <t>ID</t>
        </is>
      </c>
      <c r="B11" s="34" t="n">
        <v>0.06</v>
      </c>
    </row>
    <row r="12">
      <c r="A12" s="33" t="inlineStr">
        <is>
          <t>IL</t>
        </is>
      </c>
      <c r="B12" s="34" t="n">
        <v>0.0625</v>
      </c>
    </row>
    <row r="13">
      <c r="A13" s="33" t="inlineStr">
        <is>
          <t>IN</t>
        </is>
      </c>
      <c r="B13" s="34" t="n">
        <v>0.07000000000000001</v>
      </c>
    </row>
    <row r="14">
      <c r="A14" s="33" t="inlineStr">
        <is>
          <t>IA</t>
        </is>
      </c>
      <c r="B14" s="34" t="n">
        <v>0.06</v>
      </c>
    </row>
    <row r="15">
      <c r="A15" s="33" t="inlineStr">
        <is>
          <t>KS</t>
        </is>
      </c>
      <c r="B15" s="34" t="n">
        <v>0.065</v>
      </c>
    </row>
    <row r="16">
      <c r="A16" s="33" t="inlineStr">
        <is>
          <t>KY</t>
        </is>
      </c>
      <c r="B16" s="34" t="n">
        <v>0.06</v>
      </c>
    </row>
    <row r="17">
      <c r="A17" s="33" t="inlineStr">
        <is>
          <t>LA</t>
        </is>
      </c>
      <c r="B17" s="34" t="n">
        <v>0.0445</v>
      </c>
    </row>
    <row r="18">
      <c r="A18" s="33" t="inlineStr">
        <is>
          <t>ME</t>
        </is>
      </c>
      <c r="B18" s="34" t="n">
        <v>0.055</v>
      </c>
    </row>
    <row r="19">
      <c r="A19" s="33" t="inlineStr">
        <is>
          <t>MD</t>
        </is>
      </c>
      <c r="B19" s="34" t="n">
        <v>0.06</v>
      </c>
    </row>
    <row r="20">
      <c r="A20" s="33" t="inlineStr">
        <is>
          <t>MA</t>
        </is>
      </c>
      <c r="B20" s="34" t="n">
        <v>0.0625</v>
      </c>
    </row>
    <row r="21">
      <c r="A21" s="33" t="inlineStr">
        <is>
          <t>MI</t>
        </is>
      </c>
      <c r="B21" s="34" t="n">
        <v>0.06</v>
      </c>
    </row>
    <row r="22">
      <c r="A22" s="33" t="inlineStr">
        <is>
          <t>MN</t>
        </is>
      </c>
      <c r="B22" s="34" t="n">
        <v>0.06875000000000001</v>
      </c>
    </row>
    <row r="23">
      <c r="A23" s="33" t="inlineStr">
        <is>
          <t>MS</t>
        </is>
      </c>
      <c r="B23" s="34" t="n">
        <v>0.07000000000000001</v>
      </c>
    </row>
    <row r="24">
      <c r="A24" s="33" t="inlineStr">
        <is>
          <t>MO</t>
        </is>
      </c>
      <c r="B24" s="34" t="n">
        <v>0.04225</v>
      </c>
    </row>
    <row r="25">
      <c r="A25" s="33" t="inlineStr">
        <is>
          <t>NE</t>
        </is>
      </c>
      <c r="B25" s="34" t="n">
        <v>0.055</v>
      </c>
    </row>
    <row r="26">
      <c r="A26" s="33" t="inlineStr">
        <is>
          <t>NV</t>
        </is>
      </c>
      <c r="B26" s="34" t="n">
        <v>0.06850000000000001</v>
      </c>
    </row>
    <row r="27">
      <c r="A27" s="33" t="inlineStr">
        <is>
          <t>NJ</t>
        </is>
      </c>
      <c r="B27" s="34" t="n">
        <v>0.066</v>
      </c>
    </row>
    <row r="28">
      <c r="A28" s="33" t="inlineStr">
        <is>
          <t>NM</t>
        </is>
      </c>
      <c r="B28" s="34" t="n">
        <v>0.05125</v>
      </c>
    </row>
    <row r="29">
      <c r="A29" s="33" t="inlineStr">
        <is>
          <t>NY</t>
        </is>
      </c>
      <c r="B29" s="34" t="n">
        <v>0.04</v>
      </c>
    </row>
    <row r="30">
      <c r="A30" s="33" t="inlineStr">
        <is>
          <t>NC</t>
        </is>
      </c>
      <c r="B30" s="34" t="n">
        <v>0.0475</v>
      </c>
    </row>
    <row r="31">
      <c r="A31" s="33" t="inlineStr">
        <is>
          <t>ND</t>
        </is>
      </c>
      <c r="B31" s="34" t="n">
        <v>0.05</v>
      </c>
    </row>
    <row r="32">
      <c r="A32" s="33" t="inlineStr">
        <is>
          <t>OH</t>
        </is>
      </c>
      <c r="B32" s="34" t="n">
        <v>0.0575</v>
      </c>
    </row>
    <row r="33">
      <c r="A33" s="33" t="inlineStr">
        <is>
          <t>OK</t>
        </is>
      </c>
      <c r="B33" s="34" t="n">
        <v>0.045</v>
      </c>
    </row>
    <row r="34">
      <c r="A34" s="33" t="inlineStr">
        <is>
          <t>PA</t>
        </is>
      </c>
      <c r="B34" s="34" t="n">
        <v>0.06</v>
      </c>
    </row>
    <row r="35">
      <c r="A35" s="33" t="inlineStr">
        <is>
          <t>RI</t>
        </is>
      </c>
      <c r="B35" s="34" t="n">
        <v>0.07000000000000001</v>
      </c>
    </row>
    <row r="36">
      <c r="A36" s="33" t="inlineStr">
        <is>
          <t>SC</t>
        </is>
      </c>
      <c r="B36" s="34" t="n">
        <v>0.06</v>
      </c>
    </row>
    <row r="37">
      <c r="A37" s="33" t="inlineStr">
        <is>
          <t>SD</t>
        </is>
      </c>
      <c r="B37" s="34" t="n">
        <v>0.045</v>
      </c>
    </row>
    <row r="38">
      <c r="A38" s="33" t="inlineStr">
        <is>
          <t>TN</t>
        </is>
      </c>
      <c r="B38" s="34" t="n">
        <v>0.07000000000000001</v>
      </c>
    </row>
    <row r="39">
      <c r="A39" s="33" t="inlineStr">
        <is>
          <t>TX</t>
        </is>
      </c>
      <c r="B39" s="34" t="n">
        <v>0.0625</v>
      </c>
    </row>
    <row r="40">
      <c r="A40" s="33" t="inlineStr">
        <is>
          <t>UT</t>
        </is>
      </c>
      <c r="B40" s="34" t="n">
        <v>0.0485</v>
      </c>
    </row>
    <row r="41">
      <c r="A41" s="33" t="inlineStr">
        <is>
          <t>VT</t>
        </is>
      </c>
      <c r="B41" s="34" t="n">
        <v>0.06</v>
      </c>
    </row>
    <row r="42">
      <c r="A42" s="33" t="inlineStr">
        <is>
          <t>VA</t>
        </is>
      </c>
      <c r="B42" s="34" t="n">
        <v>0.053</v>
      </c>
    </row>
    <row r="43">
      <c r="A43" s="33" t="inlineStr">
        <is>
          <t>WA</t>
        </is>
      </c>
      <c r="B43" s="34" t="n">
        <v>0.065</v>
      </c>
    </row>
    <row r="44">
      <c r="A44" s="33" t="inlineStr">
        <is>
          <t>WV</t>
        </is>
      </c>
      <c r="B44" s="34" t="n">
        <v>0.06</v>
      </c>
    </row>
    <row r="45">
      <c r="A45" s="33" t="inlineStr">
        <is>
          <t>WI</t>
        </is>
      </c>
      <c r="B45" s="34" t="n">
        <v>0.05</v>
      </c>
    </row>
    <row r="46">
      <c r="A46" s="33" t="inlineStr">
        <is>
          <t>WY</t>
        </is>
      </c>
      <c r="B46" s="34" t="n">
        <v>0.04</v>
      </c>
    </row>
    <row r="47">
      <c r="A47" s="33" t="inlineStr">
        <is>
          <t>DC</t>
        </is>
      </c>
      <c r="B47" s="34" t="n">
        <v>0.06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31" customWidth="1" min="3" max="3"/>
    <col width="10" customWidth="1" min="4" max="4"/>
    <col width="11" customWidth="1" min="5" max="5"/>
    <col width="50" customWidth="1" min="6" max="6"/>
    <col width="11" customWidth="1" min="7" max="7"/>
    <col width="13" customWidth="1" min="8" max="8"/>
    <col width="13" customWidth="1" min="9" max="9"/>
    <col width="21" customWidth="1" min="10" max="10"/>
    <col width="19" customWidth="1" min="11" max="11"/>
    <col width="11" customWidth="1" min="12" max="12"/>
    <col width="13" customWidth="1" min="13" max="13"/>
    <col width="13" customWidth="1" min="14" max="14"/>
    <col width="17" customWidth="1" min="15" max="15"/>
    <col width="18" customWidth="1" min="16" max="16"/>
    <col width="35" customWidth="1" min="17" max="17"/>
    <col width="20" customWidth="1" min="18" max="18"/>
    <col width="11" customWidth="1" min="19" max="19"/>
    <col width="18" customWidth="1" min="20" max="20"/>
    <col width="13" customWidth="1" min="21" max="21"/>
    <col width="16" customWidth="1" min="22" max="22"/>
  </cols>
  <sheetData>
    <row r="1">
      <c r="A1" s="35" t="inlineStr">
        <is>
          <t>Order ID</t>
        </is>
      </c>
      <c r="B1" s="35" t="inlineStr">
        <is>
          <t>Customer ID</t>
        </is>
      </c>
      <c r="C1" s="35" t="inlineStr">
        <is>
          <t>Company Name</t>
        </is>
      </c>
      <c r="D1" s="35" t="inlineStr">
        <is>
          <t>State</t>
        </is>
      </c>
      <c r="E1" s="35" t="inlineStr">
        <is>
          <t>SKU</t>
        </is>
      </c>
      <c r="F1" s="35" t="inlineStr">
        <is>
          <t>Product Name</t>
        </is>
      </c>
      <c r="G1" s="35" t="inlineStr">
        <is>
          <t>Quantity</t>
        </is>
      </c>
      <c r="H1" s="35" t="inlineStr">
        <is>
          <t>Unit Price</t>
        </is>
      </c>
      <c r="I1" s="35" t="inlineStr">
        <is>
          <t>Line Total</t>
        </is>
      </c>
      <c r="J1" s="35" t="inlineStr">
        <is>
          <t>Tax Rate</t>
        </is>
      </c>
      <c r="K1" s="35" t="inlineStr">
        <is>
          <t>Carrier</t>
        </is>
      </c>
      <c r="L1" s="35" t="inlineStr">
        <is>
          <t>Invoiced</t>
        </is>
      </c>
      <c r="M1" s="35" t="inlineStr">
        <is>
          <t>Order Date</t>
        </is>
      </c>
      <c r="N1" s="35" t="inlineStr">
        <is>
          <t>Due Date</t>
        </is>
      </c>
      <c r="O1" s="35" t="inlineStr">
        <is>
          <t>Payment Terms</t>
        </is>
      </c>
      <c r="P1" s="35" t="inlineStr">
        <is>
          <t>Tracking Number</t>
        </is>
      </c>
      <c r="Q1" s="35" t="inlineStr">
        <is>
          <t>Address</t>
        </is>
      </c>
      <c r="R1" s="35" t="inlineStr">
        <is>
          <t>City</t>
        </is>
      </c>
      <c r="S1" s="35" t="inlineStr">
        <is>
          <t>Zip Code</t>
        </is>
      </c>
      <c r="T1" s="35" t="inlineStr">
        <is>
          <t>Category</t>
        </is>
      </c>
      <c r="U1" s="35" t="inlineStr">
        <is>
          <t>Is Taxable</t>
        </is>
      </c>
      <c r="V1" s="35" t="inlineStr">
        <is>
          <t>Shipping Cost</t>
        </is>
      </c>
    </row>
    <row r="2">
      <c r="A2" s="36" t="inlineStr">
        <is>
          <t>ORD-000001</t>
        </is>
      </c>
      <c r="B2" s="36" t="inlineStr">
        <is>
          <t>CUST-00362</t>
        </is>
      </c>
      <c r="C2" s="37" t="inlineStr">
        <is>
          <t>Barker, Lopez and Mason</t>
        </is>
      </c>
      <c r="D2" s="36" t="inlineStr">
        <is>
          <t>VT</t>
        </is>
      </c>
      <c r="E2" s="36" t="inlineStr">
        <is>
          <t>VYIE6IVW</t>
        </is>
      </c>
      <c r="F2" s="37" t="inlineStr">
        <is>
          <t>Balanced Upward-Trending Knowledgebase</t>
        </is>
      </c>
      <c r="G2" s="38" t="n">
        <v>2</v>
      </c>
      <c r="H2" s="39" t="n">
        <v>286.25</v>
      </c>
      <c r="I2" s="39" t="n">
        <v>572.5</v>
      </c>
      <c r="J2" s="40" t="n">
        <v>34.35</v>
      </c>
      <c r="K2" s="36" t="inlineStr">
        <is>
          <t>UPS</t>
        </is>
      </c>
      <c r="L2" s="36" t="inlineStr"/>
      <c r="M2" s="36" t="inlineStr">
        <is>
          <t>2023-01-01</t>
        </is>
      </c>
      <c r="N2" s="36" t="inlineStr">
        <is>
          <t>2023-01-01</t>
        </is>
      </c>
      <c r="O2" s="36" t="inlineStr">
        <is>
          <t>Due on Receipt</t>
        </is>
      </c>
      <c r="P2" s="36" t="inlineStr">
        <is>
          <t>ORD-000001TRK</t>
        </is>
      </c>
      <c r="Q2" s="37" t="inlineStr">
        <is>
          <t>53194 Matthews Roads</t>
        </is>
      </c>
      <c r="R2" s="37" t="inlineStr">
        <is>
          <t>Amberfort</t>
        </is>
      </c>
      <c r="S2" s="36" t="inlineStr">
        <is>
          <t>73594</t>
        </is>
      </c>
      <c r="T2" s="37" t="inlineStr">
        <is>
          <t>Electronics</t>
        </is>
      </c>
      <c r="U2" s="37" t="n">
        <v>1</v>
      </c>
      <c r="V2" s="39" t="n">
        <v>11.58</v>
      </c>
    </row>
    <row r="3">
      <c r="A3" s="36" t="inlineStr">
        <is>
          <t>ORD-000002</t>
        </is>
      </c>
      <c r="B3" s="36" t="inlineStr">
        <is>
          <t>CUST-00198</t>
        </is>
      </c>
      <c r="C3" s="37" t="n"/>
      <c r="D3" s="36" t="inlineStr">
        <is>
          <t>NC</t>
        </is>
      </c>
      <c r="E3" s="36" t="inlineStr">
        <is>
          <t>H2M5ZJA8</t>
        </is>
      </c>
      <c r="F3" s="37" t="inlineStr">
        <is>
          <t>Profound Modular Array</t>
        </is>
      </c>
      <c r="G3" s="38" t="n">
        <v>4</v>
      </c>
      <c r="H3" s="39" t="n">
        <v>26.36</v>
      </c>
      <c r="I3" s="39" t="n">
        <v>105.44</v>
      </c>
      <c r="J3" s="40" t="n">
        <v>5.0084</v>
      </c>
      <c r="K3" s="36" t="inlineStr">
        <is>
          <t>DHL</t>
        </is>
      </c>
      <c r="L3" s="36" t="inlineStr"/>
      <c r="M3" s="36" t="inlineStr">
        <is>
          <t>2023-01-01</t>
        </is>
      </c>
      <c r="N3" s="36" t="inlineStr">
        <is>
          <t>2023-01-01</t>
        </is>
      </c>
      <c r="O3" s="36" t="inlineStr">
        <is>
          <t>Due on Receipt</t>
        </is>
      </c>
      <c r="P3" s="36" t="inlineStr">
        <is>
          <t>ORD-000002TRK</t>
        </is>
      </c>
      <c r="Q3" s="37" t="inlineStr">
        <is>
          <t>7320 Joan Village Apt. 702</t>
        </is>
      </c>
      <c r="R3" s="37" t="inlineStr">
        <is>
          <t>Jacobsmouth</t>
        </is>
      </c>
      <c r="S3" s="36" t="inlineStr">
        <is>
          <t>20520</t>
        </is>
      </c>
      <c r="T3" s="37" t="inlineStr">
        <is>
          <t>Clothing</t>
        </is>
      </c>
      <c r="U3" s="37" t="n">
        <v>1</v>
      </c>
      <c r="V3" s="39" t="n">
        <v>19.29</v>
      </c>
    </row>
    <row r="4">
      <c r="A4" s="36" t="inlineStr">
        <is>
          <t>ORD-000003</t>
        </is>
      </c>
      <c r="B4" s="36" t="inlineStr">
        <is>
          <t>CUST-00298</t>
        </is>
      </c>
      <c r="C4" s="37" t="n"/>
      <c r="D4" s="36" t="inlineStr">
        <is>
          <t>MT</t>
        </is>
      </c>
      <c r="E4" s="36" t="inlineStr">
        <is>
          <t>ALA753LC</t>
        </is>
      </c>
      <c r="F4" s="37" t="inlineStr">
        <is>
          <t>Operative Directional Knowledge User</t>
        </is>
      </c>
      <c r="G4" s="38" t="n">
        <v>9</v>
      </c>
      <c r="H4" s="39" t="n">
        <v>257.74</v>
      </c>
      <c r="I4" s="39" t="n">
        <v>2319.66</v>
      </c>
      <c r="J4" s="40" t="n">
        <v>0</v>
      </c>
      <c r="K4" s="36" t="inlineStr">
        <is>
          <t>DHL</t>
        </is>
      </c>
      <c r="L4" s="36" t="inlineStr"/>
      <c r="M4" s="36" t="inlineStr">
        <is>
          <t>2023-01-01</t>
        </is>
      </c>
      <c r="N4" s="36" t="inlineStr">
        <is>
          <t>2023-01-01</t>
        </is>
      </c>
      <c r="O4" s="36" t="inlineStr">
        <is>
          <t>Due on Receipt</t>
        </is>
      </c>
      <c r="P4" s="36" t="inlineStr">
        <is>
          <t>ORD-000003TRK</t>
        </is>
      </c>
      <c r="Q4" s="37" t="inlineStr">
        <is>
          <t>53844 Parker Underpass Suite 306</t>
        </is>
      </c>
      <c r="R4" s="37" t="inlineStr">
        <is>
          <t>North Anthonystad</t>
        </is>
      </c>
      <c r="S4" s="36" t="inlineStr">
        <is>
          <t>68522</t>
        </is>
      </c>
      <c r="T4" s="37" t="inlineStr">
        <is>
          <t>Toys</t>
        </is>
      </c>
      <c r="U4" s="37" t="n">
        <v>1</v>
      </c>
      <c r="V4" s="39" t="n">
        <v>74.98</v>
      </c>
    </row>
    <row r="5">
      <c r="A5" s="36" t="inlineStr">
        <is>
          <t>ORD-000004</t>
        </is>
      </c>
      <c r="B5" s="36" t="inlineStr">
        <is>
          <t>CUST-00282</t>
        </is>
      </c>
      <c r="C5" s="37" t="inlineStr">
        <is>
          <t>Harding-White</t>
        </is>
      </c>
      <c r="D5" s="36" t="inlineStr">
        <is>
          <t>CA</t>
        </is>
      </c>
      <c r="E5" s="36" t="inlineStr">
        <is>
          <t>7R3OCWBF</t>
        </is>
      </c>
      <c r="F5" s="37" t="inlineStr">
        <is>
          <t>Right-Sized Maximized Moderator</t>
        </is>
      </c>
      <c r="G5" s="38" t="n">
        <v>8</v>
      </c>
      <c r="H5" s="39" t="n">
        <v>143.03</v>
      </c>
      <c r="I5" s="39" t="n">
        <v>1144.24</v>
      </c>
      <c r="J5" s="40" t="n">
        <v>82.95739999999999</v>
      </c>
      <c r="K5" s="36" t="inlineStr">
        <is>
          <t>UPS</t>
        </is>
      </c>
      <c r="L5" s="36" t="inlineStr"/>
      <c r="M5" s="36" t="inlineStr">
        <is>
          <t>2023-01-02</t>
        </is>
      </c>
      <c r="N5" s="36" t="inlineStr">
        <is>
          <t>2023-01-02</t>
        </is>
      </c>
      <c r="O5" s="36" t="inlineStr">
        <is>
          <t>Due on Receipt</t>
        </is>
      </c>
      <c r="P5" s="36" t="inlineStr">
        <is>
          <t>ORD-000004TRK</t>
        </is>
      </c>
      <c r="Q5" s="37" t="inlineStr">
        <is>
          <t>6010 David Trail</t>
        </is>
      </c>
      <c r="R5" s="37" t="inlineStr">
        <is>
          <t>West Douglastown</t>
        </is>
      </c>
      <c r="S5" s="36" t="inlineStr">
        <is>
          <t>01732</t>
        </is>
      </c>
      <c r="T5" s="37" t="inlineStr">
        <is>
          <t>Clothing</t>
        </is>
      </c>
      <c r="U5" s="37" t="n">
        <v>1</v>
      </c>
      <c r="V5" s="39" t="n">
        <v>17.37</v>
      </c>
    </row>
    <row r="6">
      <c r="A6" s="36" t="inlineStr">
        <is>
          <t>ORD-000004</t>
        </is>
      </c>
      <c r="B6" s="36" t="inlineStr">
        <is>
          <t>CUST-00282</t>
        </is>
      </c>
      <c r="C6" s="37" t="inlineStr">
        <is>
          <t>Harding-White</t>
        </is>
      </c>
      <c r="D6" s="36" t="inlineStr">
        <is>
          <t>CA</t>
        </is>
      </c>
      <c r="E6" s="36" t="inlineStr">
        <is>
          <t>XLL4ZKLO</t>
        </is>
      </c>
      <c r="F6" s="37" t="inlineStr">
        <is>
          <t>Synergized Secondary Archive</t>
        </is>
      </c>
      <c r="G6" s="38" t="n">
        <v>7</v>
      </c>
      <c r="H6" s="39" t="n">
        <v>237.14</v>
      </c>
      <c r="I6" s="39" t="n">
        <v>1659.98</v>
      </c>
      <c r="J6" s="40" t="n">
        <v>120.34855</v>
      </c>
      <c r="K6" s="36" t="inlineStr">
        <is>
          <t>UPS</t>
        </is>
      </c>
      <c r="L6" s="36" t="inlineStr"/>
      <c r="M6" s="36" t="inlineStr">
        <is>
          <t>2023-01-02</t>
        </is>
      </c>
      <c r="N6" s="36" t="inlineStr">
        <is>
          <t>2023-01-02</t>
        </is>
      </c>
      <c r="O6" s="36" t="inlineStr">
        <is>
          <t>Due on Receipt</t>
        </is>
      </c>
      <c r="P6" s="36" t="inlineStr">
        <is>
          <t>ORD-000004TRK</t>
        </is>
      </c>
      <c r="Q6" s="37" t="inlineStr">
        <is>
          <t>6010 David Trail</t>
        </is>
      </c>
      <c r="R6" s="37" t="inlineStr">
        <is>
          <t>West Douglastown</t>
        </is>
      </c>
      <c r="S6" s="36" t="inlineStr">
        <is>
          <t>01732</t>
        </is>
      </c>
      <c r="T6" s="37" t="inlineStr">
        <is>
          <t>Books</t>
        </is>
      </c>
      <c r="U6" s="37" t="n">
        <v>0</v>
      </c>
      <c r="V6" s="39" t="n">
        <v>17.37</v>
      </c>
    </row>
    <row r="7">
      <c r="A7" s="36" t="inlineStr">
        <is>
          <t>ORD-000005</t>
        </is>
      </c>
      <c r="B7" s="36" t="inlineStr">
        <is>
          <t>CUST-00220</t>
        </is>
      </c>
      <c r="C7" s="37" t="n"/>
      <c r="D7" s="36" t="inlineStr">
        <is>
          <t>NY</t>
        </is>
      </c>
      <c r="E7" s="36" t="inlineStr">
        <is>
          <t>ALA753LC</t>
        </is>
      </c>
      <c r="F7" s="37" t="inlineStr">
        <is>
          <t>Operative Directional Knowledge User</t>
        </is>
      </c>
      <c r="G7" s="38" t="n">
        <v>6</v>
      </c>
      <c r="H7" s="39" t="n">
        <v>257.74</v>
      </c>
      <c r="I7" s="39" t="n">
        <v>1546.44</v>
      </c>
      <c r="J7" s="40" t="n">
        <v>61.85760000000001</v>
      </c>
      <c r="K7" s="36" t="inlineStr">
        <is>
          <t>UPS</t>
        </is>
      </c>
      <c r="L7" s="36" t="inlineStr"/>
      <c r="M7" s="36" t="inlineStr">
        <is>
          <t>2023-01-02</t>
        </is>
      </c>
      <c r="N7" s="36" t="inlineStr">
        <is>
          <t>2023-01-02</t>
        </is>
      </c>
      <c r="O7" s="36" t="inlineStr">
        <is>
          <t>Due on Receipt</t>
        </is>
      </c>
      <c r="P7" s="36" t="inlineStr">
        <is>
          <t>ORD-000005TRK</t>
        </is>
      </c>
      <c r="Q7" s="37" t="inlineStr">
        <is>
          <t>6193 Anna Oval</t>
        </is>
      </c>
      <c r="R7" s="37" t="inlineStr">
        <is>
          <t>Victoriastad</t>
        </is>
      </c>
      <c r="S7" s="36" t="inlineStr">
        <is>
          <t>06618</t>
        </is>
      </c>
      <c r="T7" s="37" t="inlineStr">
        <is>
          <t>Toys</t>
        </is>
      </c>
      <c r="U7" s="37" t="n">
        <v>1</v>
      </c>
      <c r="V7" s="39" t="n">
        <v>47.29</v>
      </c>
    </row>
    <row r="8">
      <c r="A8" s="36" t="inlineStr">
        <is>
          <t>ORD-000005</t>
        </is>
      </c>
      <c r="B8" s="36" t="inlineStr">
        <is>
          <t>CUST-00220</t>
        </is>
      </c>
      <c r="C8" s="37" t="n"/>
      <c r="D8" s="36" t="inlineStr">
        <is>
          <t>NY</t>
        </is>
      </c>
      <c r="E8" s="36" t="inlineStr">
        <is>
          <t>FTU2GC5W</t>
        </is>
      </c>
      <c r="F8" s="37" t="inlineStr">
        <is>
          <t>Front-Line Non-Volatile Artificial Intelligence</t>
        </is>
      </c>
      <c r="G8" s="38" t="n">
        <v>2</v>
      </c>
      <c r="H8" s="39" t="n">
        <v>268.28</v>
      </c>
      <c r="I8" s="39" t="n">
        <v>536.5599999999999</v>
      </c>
      <c r="J8" s="40" t="n">
        <v>21.4624</v>
      </c>
      <c r="K8" s="36" t="inlineStr">
        <is>
          <t>UPS</t>
        </is>
      </c>
      <c r="L8" s="36" t="inlineStr"/>
      <c r="M8" s="36" t="inlineStr">
        <is>
          <t>2023-01-02</t>
        </is>
      </c>
      <c r="N8" s="36" t="inlineStr">
        <is>
          <t>2023-01-02</t>
        </is>
      </c>
      <c r="O8" s="36" t="inlineStr">
        <is>
          <t>Due on Receipt</t>
        </is>
      </c>
      <c r="P8" s="36" t="inlineStr">
        <is>
          <t>ORD-000005TRK</t>
        </is>
      </c>
      <c r="Q8" s="37" t="inlineStr">
        <is>
          <t>6193 Anna Oval</t>
        </is>
      </c>
      <c r="R8" s="37" t="inlineStr">
        <is>
          <t>Victoriastad</t>
        </is>
      </c>
      <c r="S8" s="36" t="inlineStr">
        <is>
          <t>06618</t>
        </is>
      </c>
      <c r="T8" s="37" t="inlineStr">
        <is>
          <t>Electronics</t>
        </is>
      </c>
      <c r="U8" s="37" t="n">
        <v>1</v>
      </c>
      <c r="V8" s="39" t="n">
        <v>47.29</v>
      </c>
    </row>
    <row r="9">
      <c r="A9" s="36" t="inlineStr">
        <is>
          <t>ORD-000006</t>
        </is>
      </c>
      <c r="B9" s="36" t="inlineStr">
        <is>
          <t>CUST-00029</t>
        </is>
      </c>
      <c r="C9" s="37" t="inlineStr">
        <is>
          <t>Davis-Lewis</t>
        </is>
      </c>
      <c r="D9" s="36" t="inlineStr">
        <is>
          <t>WA</t>
        </is>
      </c>
      <c r="E9" s="36" t="inlineStr">
        <is>
          <t>BNHL1N13</t>
        </is>
      </c>
      <c r="F9" s="37" t="inlineStr">
        <is>
          <t>Streamlined Modular Infrastructure</t>
        </is>
      </c>
      <c r="G9" s="38" t="n">
        <v>3</v>
      </c>
      <c r="H9" s="39" t="n">
        <v>199.75</v>
      </c>
      <c r="I9" s="39" t="n">
        <v>599.25</v>
      </c>
      <c r="J9" s="40" t="n">
        <v>38.95125</v>
      </c>
      <c r="K9" s="36" t="inlineStr">
        <is>
          <t>USPS</t>
        </is>
      </c>
      <c r="L9" s="36" t="inlineStr"/>
      <c r="M9" s="36" t="inlineStr">
        <is>
          <t>2023-01-05</t>
        </is>
      </c>
      <c r="N9" s="36" t="inlineStr">
        <is>
          <t>2023-02-04</t>
        </is>
      </c>
      <c r="O9" s="36" t="inlineStr">
        <is>
          <t>Net 30</t>
        </is>
      </c>
      <c r="P9" s="36" t="inlineStr">
        <is>
          <t>ORD-000006TRK</t>
        </is>
      </c>
      <c r="Q9" s="37" t="inlineStr">
        <is>
          <t>28421 David Knolls Apt. 950</t>
        </is>
      </c>
      <c r="R9" s="37" t="inlineStr">
        <is>
          <t>West Brian</t>
        </is>
      </c>
      <c r="S9" s="36" t="inlineStr">
        <is>
          <t>97719</t>
        </is>
      </c>
      <c r="T9" s="37" t="inlineStr">
        <is>
          <t>Electronics</t>
        </is>
      </c>
      <c r="U9" s="37" t="n">
        <v>1</v>
      </c>
      <c r="V9" s="39" t="n">
        <v>32.94</v>
      </c>
    </row>
    <row r="10">
      <c r="A10" s="36" t="inlineStr">
        <is>
          <t>ORD-000006</t>
        </is>
      </c>
      <c r="B10" s="36" t="inlineStr">
        <is>
          <t>CUST-00029</t>
        </is>
      </c>
      <c r="C10" s="37" t="inlineStr">
        <is>
          <t>Davis-Lewis</t>
        </is>
      </c>
      <c r="D10" s="36" t="inlineStr">
        <is>
          <t>WA</t>
        </is>
      </c>
      <c r="E10" s="36" t="inlineStr">
        <is>
          <t>89YJB1QX</t>
        </is>
      </c>
      <c r="F10" s="37" t="inlineStr">
        <is>
          <t>Optional Cohesive Knowledgebase</t>
        </is>
      </c>
      <c r="G10" s="38" t="n">
        <v>4</v>
      </c>
      <c r="H10" s="39" t="n">
        <v>472.66</v>
      </c>
      <c r="I10" s="39" t="n">
        <v>1890.64</v>
      </c>
      <c r="J10" s="40" t="n">
        <v>122.8916</v>
      </c>
      <c r="K10" s="36" t="inlineStr">
        <is>
          <t>USPS</t>
        </is>
      </c>
      <c r="L10" s="36" t="inlineStr"/>
      <c r="M10" s="36" t="inlineStr">
        <is>
          <t>2023-01-05</t>
        </is>
      </c>
      <c r="N10" s="36" t="inlineStr">
        <is>
          <t>2023-02-04</t>
        </is>
      </c>
      <c r="O10" s="36" t="inlineStr">
        <is>
          <t>Net 30</t>
        </is>
      </c>
      <c r="P10" s="36" t="inlineStr">
        <is>
          <t>ORD-000006TRK</t>
        </is>
      </c>
      <c r="Q10" s="37" t="inlineStr">
        <is>
          <t>28421 David Knolls Apt. 950</t>
        </is>
      </c>
      <c r="R10" s="37" t="inlineStr">
        <is>
          <t>West Brian</t>
        </is>
      </c>
      <c r="S10" s="36" t="inlineStr">
        <is>
          <t>97719</t>
        </is>
      </c>
      <c r="T10" s="37" t="inlineStr">
        <is>
          <t>Electronics</t>
        </is>
      </c>
      <c r="U10" s="37" t="n">
        <v>1</v>
      </c>
      <c r="V10" s="39" t="n">
        <v>32.94</v>
      </c>
    </row>
    <row r="11">
      <c r="A11" s="36" t="inlineStr">
        <is>
          <t>ORD-000007</t>
        </is>
      </c>
      <c r="B11" s="36" t="inlineStr">
        <is>
          <t>CUST-00115</t>
        </is>
      </c>
      <c r="C11" s="37" t="inlineStr">
        <is>
          <t>Kelley, Edwards and Doyle</t>
        </is>
      </c>
      <c r="D11" s="36" t="inlineStr">
        <is>
          <t>MS</t>
        </is>
      </c>
      <c r="E11" s="36" t="inlineStr">
        <is>
          <t>WJ0TPAC5</t>
        </is>
      </c>
      <c r="F11" s="37" t="inlineStr">
        <is>
          <t>Cloned 6Thgeneration Protocol</t>
        </is>
      </c>
      <c r="G11" s="38" t="n">
        <v>1</v>
      </c>
      <c r="H11" s="39" t="n">
        <v>84.36</v>
      </c>
      <c r="I11" s="39" t="n">
        <v>84.36</v>
      </c>
      <c r="J11" s="40" t="n">
        <v>5.905200000000001</v>
      </c>
      <c r="K11" s="36" t="inlineStr">
        <is>
          <t>DHL</t>
        </is>
      </c>
      <c r="L11" s="36" t="inlineStr"/>
      <c r="M11" s="36" t="inlineStr">
        <is>
          <t>2023-01-05</t>
        </is>
      </c>
      <c r="N11" s="36" t="inlineStr">
        <is>
          <t>2023-03-06</t>
        </is>
      </c>
      <c r="O11" s="36" t="inlineStr">
        <is>
          <t>Net 60</t>
        </is>
      </c>
      <c r="P11" s="36" t="inlineStr">
        <is>
          <t>ORD-000007TRK</t>
        </is>
      </c>
      <c r="Q11" s="37" t="inlineStr">
        <is>
          <t>106 Brian Centers</t>
        </is>
      </c>
      <c r="R11" s="37" t="inlineStr">
        <is>
          <t>West Karen</t>
        </is>
      </c>
      <c r="S11" s="36" t="inlineStr">
        <is>
          <t>21595</t>
        </is>
      </c>
      <c r="T11" s="37" t="inlineStr">
        <is>
          <t>Clothing</t>
        </is>
      </c>
      <c r="U11" s="37" t="n">
        <v>1</v>
      </c>
      <c r="V11" s="39" t="n">
        <v>44.77</v>
      </c>
    </row>
    <row r="12">
      <c r="A12" s="36" t="inlineStr">
        <is>
          <t>ORD-000007</t>
        </is>
      </c>
      <c r="B12" s="36" t="inlineStr">
        <is>
          <t>CUST-00115</t>
        </is>
      </c>
      <c r="C12" s="37" t="inlineStr">
        <is>
          <t>Kelley, Edwards and Doyle</t>
        </is>
      </c>
      <c r="D12" s="36" t="inlineStr">
        <is>
          <t>MS</t>
        </is>
      </c>
      <c r="E12" s="36" t="inlineStr">
        <is>
          <t>1W1HT7PZ</t>
        </is>
      </c>
      <c r="F12" s="37" t="inlineStr">
        <is>
          <t>Enhanced Motivating Benchmark</t>
        </is>
      </c>
      <c r="G12" s="38" t="n">
        <v>5</v>
      </c>
      <c r="H12" s="39" t="n">
        <v>134.91</v>
      </c>
      <c r="I12" s="39" t="n">
        <v>674.55</v>
      </c>
      <c r="J12" s="40" t="n">
        <v>47.2185</v>
      </c>
      <c r="K12" s="36" t="inlineStr">
        <is>
          <t>DHL</t>
        </is>
      </c>
      <c r="L12" s="36" t="inlineStr"/>
      <c r="M12" s="36" t="inlineStr">
        <is>
          <t>2023-01-05</t>
        </is>
      </c>
      <c r="N12" s="36" t="inlineStr">
        <is>
          <t>2023-03-06</t>
        </is>
      </c>
      <c r="O12" s="36" t="inlineStr">
        <is>
          <t>Net 60</t>
        </is>
      </c>
      <c r="P12" s="36" t="inlineStr">
        <is>
          <t>ORD-000007TRK</t>
        </is>
      </c>
      <c r="Q12" s="37" t="inlineStr">
        <is>
          <t>106 Brian Centers</t>
        </is>
      </c>
      <c r="R12" s="37" t="inlineStr">
        <is>
          <t>West Karen</t>
        </is>
      </c>
      <c r="S12" s="36" t="inlineStr">
        <is>
          <t>21595</t>
        </is>
      </c>
      <c r="T12" s="37" t="inlineStr">
        <is>
          <t>Sports</t>
        </is>
      </c>
      <c r="U12" s="37" t="n">
        <v>1</v>
      </c>
      <c r="V12" s="39" t="n">
        <v>44.77</v>
      </c>
    </row>
    <row r="13">
      <c r="A13" s="36" t="inlineStr">
        <is>
          <t>ORD-000008</t>
        </is>
      </c>
      <c r="B13" s="36" t="inlineStr">
        <is>
          <t>CUST-00244</t>
        </is>
      </c>
      <c r="C13" s="37" t="n"/>
      <c r="D13" s="36" t="inlineStr">
        <is>
          <t>AK</t>
        </is>
      </c>
      <c r="E13" s="36" t="inlineStr">
        <is>
          <t>44NLZ15B</t>
        </is>
      </c>
      <c r="F13" s="37" t="inlineStr">
        <is>
          <t>Customizable High-Level Workforce</t>
        </is>
      </c>
      <c r="G13" s="38" t="n">
        <v>10</v>
      </c>
      <c r="H13" s="39" t="n">
        <v>296.43</v>
      </c>
      <c r="I13" s="39" t="n">
        <v>2964.3</v>
      </c>
      <c r="J13" s="40" t="n">
        <v>0</v>
      </c>
      <c r="K13" s="36" t="inlineStr">
        <is>
          <t>UPS</t>
        </is>
      </c>
      <c r="L13" s="36" t="inlineStr"/>
      <c r="M13" s="36" t="inlineStr">
        <is>
          <t>2023-01-05</t>
        </is>
      </c>
      <c r="N13" s="36" t="inlineStr">
        <is>
          <t>2023-01-05</t>
        </is>
      </c>
      <c r="O13" s="36" t="inlineStr">
        <is>
          <t>Due on Receipt</t>
        </is>
      </c>
      <c r="P13" s="36" t="inlineStr">
        <is>
          <t>ORD-000008TRK</t>
        </is>
      </c>
      <c r="Q13" s="37" t="inlineStr">
        <is>
          <t>553 Simmons Terrace Suite 845</t>
        </is>
      </c>
      <c r="R13" s="37" t="inlineStr">
        <is>
          <t>New Kristenberg</t>
        </is>
      </c>
      <c r="S13" s="36" t="inlineStr">
        <is>
          <t>20645</t>
        </is>
      </c>
      <c r="T13" s="37" t="inlineStr">
        <is>
          <t>Home &amp; Garden</t>
        </is>
      </c>
      <c r="U13" s="37" t="n">
        <v>1</v>
      </c>
      <c r="V13" s="39" t="n">
        <v>93.04000000000001</v>
      </c>
    </row>
    <row r="14">
      <c r="A14" s="36" t="inlineStr">
        <is>
          <t>ORD-000009</t>
        </is>
      </c>
      <c r="B14" s="36" t="inlineStr">
        <is>
          <t>CUST-00033</t>
        </is>
      </c>
      <c r="C14" s="37" t="n"/>
      <c r="D14" s="36" t="inlineStr">
        <is>
          <t>PA</t>
        </is>
      </c>
      <c r="E14" s="36" t="inlineStr">
        <is>
          <t>9TZE5R5U</t>
        </is>
      </c>
      <c r="F14" s="37" t="inlineStr">
        <is>
          <t>Cloned Human-Resource Implementation</t>
        </is>
      </c>
      <c r="G14" s="38" t="n">
        <v>5</v>
      </c>
      <c r="H14" s="39" t="n">
        <v>15.13</v>
      </c>
      <c r="I14" s="39" t="n">
        <v>75.65000000000001</v>
      </c>
      <c r="J14" s="40" t="n">
        <v>4.539000000000001</v>
      </c>
      <c r="K14" s="36" t="inlineStr">
        <is>
          <t>Amazon Logistics</t>
        </is>
      </c>
      <c r="L14" s="36" t="inlineStr"/>
      <c r="M14" s="36" t="inlineStr">
        <is>
          <t>2023-01-06</t>
        </is>
      </c>
      <c r="N14" s="36" t="inlineStr">
        <is>
          <t>2023-01-06</t>
        </is>
      </c>
      <c r="O14" s="36" t="inlineStr">
        <is>
          <t>Due on Receipt</t>
        </is>
      </c>
      <c r="P14" s="36" t="inlineStr">
        <is>
          <t>ORD-000009TRK</t>
        </is>
      </c>
      <c r="Q14" s="37" t="inlineStr">
        <is>
          <t>6149 Rose Inlet</t>
        </is>
      </c>
      <c r="R14" s="37" t="inlineStr">
        <is>
          <t>East Randallton</t>
        </is>
      </c>
      <c r="S14" s="36" t="inlineStr">
        <is>
          <t>01508</t>
        </is>
      </c>
      <c r="T14" s="37" t="inlineStr">
        <is>
          <t>Electronics</t>
        </is>
      </c>
      <c r="U14" s="37" t="n">
        <v>1</v>
      </c>
      <c r="V14" s="39" t="n">
        <v>13.16</v>
      </c>
    </row>
    <row r="15">
      <c r="A15" s="36" t="inlineStr">
        <is>
          <t>ORD-000010</t>
        </is>
      </c>
      <c r="B15" s="36" t="inlineStr">
        <is>
          <t>CUST-00194</t>
        </is>
      </c>
      <c r="C15" s="37" t="inlineStr">
        <is>
          <t>Austin, Guerra and Fox</t>
        </is>
      </c>
      <c r="D15" s="36" t="inlineStr">
        <is>
          <t>KY</t>
        </is>
      </c>
      <c r="E15" s="36" t="inlineStr">
        <is>
          <t>7Y6WKTAK</t>
        </is>
      </c>
      <c r="F15" s="37" t="inlineStr">
        <is>
          <t>Robust Scalable Concept</t>
        </is>
      </c>
      <c r="G15" s="38" t="n">
        <v>6</v>
      </c>
      <c r="H15" s="39" t="n">
        <v>95.58</v>
      </c>
      <c r="I15" s="39" t="n">
        <v>573.48</v>
      </c>
      <c r="J15" s="40" t="n">
        <v>34.4088</v>
      </c>
      <c r="K15" s="36" t="inlineStr">
        <is>
          <t>USPS</t>
        </is>
      </c>
      <c r="L15" s="36" t="inlineStr"/>
      <c r="M15" s="36" t="inlineStr">
        <is>
          <t>2023-01-06</t>
        </is>
      </c>
      <c r="N15" s="36" t="inlineStr">
        <is>
          <t>2023-03-07</t>
        </is>
      </c>
      <c r="O15" s="36" t="inlineStr">
        <is>
          <t>Net 60</t>
        </is>
      </c>
      <c r="P15" s="36" t="inlineStr">
        <is>
          <t>ORD-000010TRK</t>
        </is>
      </c>
      <c r="Q15" s="37" t="inlineStr">
        <is>
          <t>13223 Martinez Curve Apt. 611</t>
        </is>
      </c>
      <c r="R15" s="37" t="inlineStr">
        <is>
          <t>Port Toddchester</t>
        </is>
      </c>
      <c r="S15" s="36" t="inlineStr">
        <is>
          <t>06073</t>
        </is>
      </c>
      <c r="T15" s="37" t="inlineStr">
        <is>
          <t>Clothing</t>
        </is>
      </c>
      <c r="U15" s="37" t="n">
        <v>1</v>
      </c>
      <c r="V15" s="39" t="n">
        <v>100.71</v>
      </c>
    </row>
    <row r="16">
      <c r="A16" s="36" t="inlineStr">
        <is>
          <t>ORD-000010</t>
        </is>
      </c>
      <c r="B16" s="36" t="inlineStr">
        <is>
          <t>CUST-00194</t>
        </is>
      </c>
      <c r="C16" s="37" t="inlineStr">
        <is>
          <t>Austin, Guerra and Fox</t>
        </is>
      </c>
      <c r="D16" s="36" t="inlineStr">
        <is>
          <t>KY</t>
        </is>
      </c>
      <c r="E16" s="36" t="inlineStr">
        <is>
          <t>NUJZA7TZ</t>
        </is>
      </c>
      <c r="F16" s="37" t="inlineStr">
        <is>
          <t>Synchronized Encompassing Standardization</t>
        </is>
      </c>
      <c r="G16" s="38" t="n">
        <v>10</v>
      </c>
      <c r="H16" s="39" t="n">
        <v>135.64</v>
      </c>
      <c r="I16" s="39" t="n">
        <v>1356.4</v>
      </c>
      <c r="J16" s="40" t="n">
        <v>81.38399999999999</v>
      </c>
      <c r="K16" s="36" t="inlineStr">
        <is>
          <t>USPS</t>
        </is>
      </c>
      <c r="L16" s="36" t="inlineStr"/>
      <c r="M16" s="36" t="inlineStr">
        <is>
          <t>2023-01-06</t>
        </is>
      </c>
      <c r="N16" s="36" t="inlineStr">
        <is>
          <t>2023-03-07</t>
        </is>
      </c>
      <c r="O16" s="36" t="inlineStr">
        <is>
          <t>Net 60</t>
        </is>
      </c>
      <c r="P16" s="36" t="inlineStr">
        <is>
          <t>ORD-000010TRK</t>
        </is>
      </c>
      <c r="Q16" s="37" t="inlineStr">
        <is>
          <t>13223 Martinez Curve Apt. 611</t>
        </is>
      </c>
      <c r="R16" s="37" t="inlineStr">
        <is>
          <t>Port Toddchester</t>
        </is>
      </c>
      <c r="S16" s="36" t="inlineStr">
        <is>
          <t>06073</t>
        </is>
      </c>
      <c r="T16" s="37" t="inlineStr">
        <is>
          <t>Books</t>
        </is>
      </c>
      <c r="U16" s="37" t="n">
        <v>0</v>
      </c>
      <c r="V16" s="39" t="n">
        <v>100.71</v>
      </c>
    </row>
    <row r="17">
      <c r="A17" s="36" t="inlineStr">
        <is>
          <t>ORD-000010</t>
        </is>
      </c>
      <c r="B17" s="36" t="inlineStr">
        <is>
          <t>CUST-00194</t>
        </is>
      </c>
      <c r="C17" s="37" t="inlineStr">
        <is>
          <t>Austin, Guerra and Fox</t>
        </is>
      </c>
      <c r="D17" s="36" t="inlineStr">
        <is>
          <t>KY</t>
        </is>
      </c>
      <c r="E17" s="36" t="inlineStr">
        <is>
          <t>X63CFL0U</t>
        </is>
      </c>
      <c r="F17" s="37" t="inlineStr">
        <is>
          <t>Future-Proofed Zero Administration Project</t>
        </is>
      </c>
      <c r="G17" s="38" t="n">
        <v>8</v>
      </c>
      <c r="H17" s="39" t="n">
        <v>339.39</v>
      </c>
      <c r="I17" s="39" t="n">
        <v>2715.12</v>
      </c>
      <c r="J17" s="40" t="n">
        <v>162.9072</v>
      </c>
      <c r="K17" s="36" t="inlineStr">
        <is>
          <t>USPS</t>
        </is>
      </c>
      <c r="L17" s="36" t="inlineStr"/>
      <c r="M17" s="36" t="inlineStr">
        <is>
          <t>2023-01-06</t>
        </is>
      </c>
      <c r="N17" s="36" t="inlineStr">
        <is>
          <t>2023-03-07</t>
        </is>
      </c>
      <c r="O17" s="36" t="inlineStr">
        <is>
          <t>Net 60</t>
        </is>
      </c>
      <c r="P17" s="36" t="inlineStr">
        <is>
          <t>ORD-000010TRK</t>
        </is>
      </c>
      <c r="Q17" s="37" t="inlineStr">
        <is>
          <t>13223 Martinez Curve Apt. 611</t>
        </is>
      </c>
      <c r="R17" s="37" t="inlineStr">
        <is>
          <t>Port Toddchester</t>
        </is>
      </c>
      <c r="S17" s="36" t="inlineStr">
        <is>
          <t>06073</t>
        </is>
      </c>
      <c r="T17" s="37" t="inlineStr">
        <is>
          <t>Books</t>
        </is>
      </c>
      <c r="U17" s="37" t="n">
        <v>0</v>
      </c>
      <c r="V17" s="39" t="n">
        <v>100.71</v>
      </c>
    </row>
    <row r="18">
      <c r="A18" s="36" t="inlineStr">
        <is>
          <t>ORD-000010</t>
        </is>
      </c>
      <c r="B18" s="36" t="inlineStr">
        <is>
          <t>CUST-00194</t>
        </is>
      </c>
      <c r="C18" s="37" t="inlineStr">
        <is>
          <t>Austin, Guerra and Fox</t>
        </is>
      </c>
      <c r="D18" s="36" t="inlineStr">
        <is>
          <t>KY</t>
        </is>
      </c>
      <c r="E18" s="36" t="inlineStr">
        <is>
          <t>TTQLGZUI</t>
        </is>
      </c>
      <c r="F18" s="37" t="inlineStr">
        <is>
          <t>Diverse Needs-Based Time-Frame</t>
        </is>
      </c>
      <c r="G18" s="38" t="n">
        <v>2</v>
      </c>
      <c r="H18" s="39" t="n">
        <v>66.43000000000001</v>
      </c>
      <c r="I18" s="39" t="n">
        <v>132.86</v>
      </c>
      <c r="J18" s="40" t="n">
        <v>7.9716</v>
      </c>
      <c r="K18" s="36" t="inlineStr">
        <is>
          <t>USPS</t>
        </is>
      </c>
      <c r="L18" s="36" t="inlineStr"/>
      <c r="M18" s="36" t="inlineStr">
        <is>
          <t>2023-01-06</t>
        </is>
      </c>
      <c r="N18" s="36" t="inlineStr">
        <is>
          <t>2023-03-07</t>
        </is>
      </c>
      <c r="O18" s="36" t="inlineStr">
        <is>
          <t>Net 60</t>
        </is>
      </c>
      <c r="P18" s="36" t="inlineStr">
        <is>
          <t>ORD-000010TRK</t>
        </is>
      </c>
      <c r="Q18" s="37" t="inlineStr">
        <is>
          <t>13223 Martinez Curve Apt. 611</t>
        </is>
      </c>
      <c r="R18" s="37" t="inlineStr">
        <is>
          <t>Port Toddchester</t>
        </is>
      </c>
      <c r="S18" s="36" t="inlineStr">
        <is>
          <t>06073</t>
        </is>
      </c>
      <c r="T18" s="37" t="inlineStr">
        <is>
          <t>Clothing</t>
        </is>
      </c>
      <c r="U18" s="37" t="n">
        <v>1</v>
      </c>
      <c r="V18" s="39" t="n">
        <v>100.71</v>
      </c>
    </row>
    <row r="19">
      <c r="A19" s="36" t="inlineStr">
        <is>
          <t>ORD-000011</t>
        </is>
      </c>
      <c r="B19" s="36" t="inlineStr">
        <is>
          <t>CUST-00119</t>
        </is>
      </c>
      <c r="C19" s="37" t="n"/>
      <c r="D19" s="36" t="inlineStr">
        <is>
          <t>RI</t>
        </is>
      </c>
      <c r="E19" s="36" t="inlineStr">
        <is>
          <t>OWF75935</t>
        </is>
      </c>
      <c r="F19" s="37" t="inlineStr">
        <is>
          <t>Configurable Discrete Attitude</t>
        </is>
      </c>
      <c r="G19" s="38" t="n">
        <v>6</v>
      </c>
      <c r="H19" s="39" t="n">
        <v>58.65</v>
      </c>
      <c r="I19" s="39" t="n">
        <v>351.9</v>
      </c>
      <c r="J19" s="40" t="n">
        <v>24.633</v>
      </c>
      <c r="K19" s="36" t="inlineStr">
        <is>
          <t>DHL</t>
        </is>
      </c>
      <c r="L19" s="36" t="inlineStr"/>
      <c r="M19" s="36" t="inlineStr">
        <is>
          <t>2023-01-06</t>
        </is>
      </c>
      <c r="N19" s="36" t="inlineStr">
        <is>
          <t>2023-01-06</t>
        </is>
      </c>
      <c r="O19" s="36" t="inlineStr">
        <is>
          <t>Due on Receipt</t>
        </is>
      </c>
      <c r="P19" s="36" t="inlineStr">
        <is>
          <t>ORD-000011TRK</t>
        </is>
      </c>
      <c r="Q19" s="37" t="inlineStr">
        <is>
          <t>75011 Gregory Glen</t>
        </is>
      </c>
      <c r="R19" s="37" t="inlineStr">
        <is>
          <t>New Lorraineview</t>
        </is>
      </c>
      <c r="S19" s="36" t="inlineStr">
        <is>
          <t>53930</t>
        </is>
      </c>
      <c r="T19" s="37" t="inlineStr">
        <is>
          <t>Home &amp; Garden</t>
        </is>
      </c>
      <c r="U19" s="37" t="n">
        <v>1</v>
      </c>
      <c r="V19" s="39" t="n">
        <v>82.06</v>
      </c>
    </row>
    <row r="20">
      <c r="A20" s="36" t="inlineStr">
        <is>
          <t>ORD-000012</t>
        </is>
      </c>
      <c r="B20" s="36" t="inlineStr">
        <is>
          <t>CUST-00358</t>
        </is>
      </c>
      <c r="C20" s="37" t="n"/>
      <c r="D20" s="36" t="inlineStr">
        <is>
          <t>WA</t>
        </is>
      </c>
      <c r="E20" s="36" t="inlineStr">
        <is>
          <t>H2M5ZJA8</t>
        </is>
      </c>
      <c r="F20" s="37" t="inlineStr">
        <is>
          <t>Profound Modular Array</t>
        </is>
      </c>
      <c r="G20" s="38" t="n">
        <v>8</v>
      </c>
      <c r="H20" s="39" t="n">
        <v>26.36</v>
      </c>
      <c r="I20" s="39" t="n">
        <v>210.88</v>
      </c>
      <c r="J20" s="40" t="n">
        <v>13.7072</v>
      </c>
      <c r="K20" s="36" t="inlineStr">
        <is>
          <t>UPS</t>
        </is>
      </c>
      <c r="L20" s="36" t="inlineStr"/>
      <c r="M20" s="36" t="inlineStr">
        <is>
          <t>2023-01-07</t>
        </is>
      </c>
      <c r="N20" s="36" t="inlineStr">
        <is>
          <t>2023-01-07</t>
        </is>
      </c>
      <c r="O20" s="36" t="inlineStr">
        <is>
          <t>Due on Receipt</t>
        </is>
      </c>
      <c r="P20" s="36" t="inlineStr">
        <is>
          <t>ORD-000012TRK</t>
        </is>
      </c>
      <c r="Q20" s="37" t="inlineStr">
        <is>
          <t>76604 Green Roads Apt. 978</t>
        </is>
      </c>
      <c r="R20" s="37" t="inlineStr">
        <is>
          <t>Kimberlymouth</t>
        </is>
      </c>
      <c r="S20" s="36" t="inlineStr">
        <is>
          <t>70627</t>
        </is>
      </c>
      <c r="T20" s="37" t="inlineStr">
        <is>
          <t>Clothing</t>
        </is>
      </c>
      <c r="U20" s="37" t="n">
        <v>1</v>
      </c>
      <c r="V20" s="39" t="n">
        <v>122.28</v>
      </c>
    </row>
    <row r="21">
      <c r="A21" s="36" t="inlineStr">
        <is>
          <t>ORD-000012</t>
        </is>
      </c>
      <c r="B21" s="36" t="inlineStr">
        <is>
          <t>CUST-00358</t>
        </is>
      </c>
      <c r="C21" s="37" t="n"/>
      <c r="D21" s="36" t="inlineStr">
        <is>
          <t>WA</t>
        </is>
      </c>
      <c r="E21" s="36" t="inlineStr">
        <is>
          <t>RIXA11DP</t>
        </is>
      </c>
      <c r="F21" s="37" t="inlineStr">
        <is>
          <t>Future-Proofed Scalable Solution</t>
        </is>
      </c>
      <c r="G21" s="38" t="n">
        <v>5</v>
      </c>
      <c r="H21" s="39" t="n">
        <v>202.23</v>
      </c>
      <c r="I21" s="39" t="n">
        <v>1011.15</v>
      </c>
      <c r="J21" s="40" t="n">
        <v>65.72475</v>
      </c>
      <c r="K21" s="36" t="inlineStr">
        <is>
          <t>UPS</t>
        </is>
      </c>
      <c r="L21" s="36" t="inlineStr"/>
      <c r="M21" s="36" t="inlineStr">
        <is>
          <t>2023-01-07</t>
        </is>
      </c>
      <c r="N21" s="36" t="inlineStr">
        <is>
          <t>2023-01-07</t>
        </is>
      </c>
      <c r="O21" s="36" t="inlineStr">
        <is>
          <t>Due on Receipt</t>
        </is>
      </c>
      <c r="P21" s="36" t="inlineStr">
        <is>
          <t>ORD-000012TRK</t>
        </is>
      </c>
      <c r="Q21" s="37" t="inlineStr">
        <is>
          <t>76604 Green Roads Apt. 978</t>
        </is>
      </c>
      <c r="R21" s="37" t="inlineStr">
        <is>
          <t>Kimberlymouth</t>
        </is>
      </c>
      <c r="S21" s="36" t="inlineStr">
        <is>
          <t>70627</t>
        </is>
      </c>
      <c r="T21" s="37" t="inlineStr">
        <is>
          <t>Clothing</t>
        </is>
      </c>
      <c r="U21" s="37" t="n">
        <v>1</v>
      </c>
      <c r="V21" s="39" t="n">
        <v>122.28</v>
      </c>
    </row>
    <row r="22">
      <c r="A22" s="36" t="inlineStr">
        <is>
          <t>ORD-000012</t>
        </is>
      </c>
      <c r="B22" s="36" t="inlineStr">
        <is>
          <t>CUST-00358</t>
        </is>
      </c>
      <c r="C22" s="37" t="n"/>
      <c r="D22" s="36" t="inlineStr">
        <is>
          <t>WA</t>
        </is>
      </c>
      <c r="E22" s="36" t="inlineStr">
        <is>
          <t>UHZ1GV0E</t>
        </is>
      </c>
      <c r="F22" s="37" t="inlineStr">
        <is>
          <t>Fundamental Client-Driven Encryption</t>
        </is>
      </c>
      <c r="G22" s="38" t="n">
        <v>9</v>
      </c>
      <c r="H22" s="39" t="n">
        <v>52.93</v>
      </c>
      <c r="I22" s="39" t="n">
        <v>476.37</v>
      </c>
      <c r="J22" s="40" t="n">
        <v>30.96405</v>
      </c>
      <c r="K22" s="36" t="inlineStr">
        <is>
          <t>UPS</t>
        </is>
      </c>
      <c r="L22" s="36" t="inlineStr"/>
      <c r="M22" s="36" t="inlineStr">
        <is>
          <t>2023-01-07</t>
        </is>
      </c>
      <c r="N22" s="36" t="inlineStr">
        <is>
          <t>2023-01-07</t>
        </is>
      </c>
      <c r="O22" s="36" t="inlineStr">
        <is>
          <t>Due on Receipt</t>
        </is>
      </c>
      <c r="P22" s="36" t="inlineStr">
        <is>
          <t>ORD-000012TRK</t>
        </is>
      </c>
      <c r="Q22" s="37" t="inlineStr">
        <is>
          <t>76604 Green Roads Apt. 978</t>
        </is>
      </c>
      <c r="R22" s="37" t="inlineStr">
        <is>
          <t>Kimberlymouth</t>
        </is>
      </c>
      <c r="S22" s="36" t="inlineStr">
        <is>
          <t>70627</t>
        </is>
      </c>
      <c r="T22" s="37" t="inlineStr">
        <is>
          <t>Electronics</t>
        </is>
      </c>
      <c r="U22" s="37" t="n">
        <v>1</v>
      </c>
      <c r="V22" s="39" t="n">
        <v>122.28</v>
      </c>
    </row>
    <row r="23">
      <c r="A23" s="36" t="inlineStr">
        <is>
          <t>ORD-000012</t>
        </is>
      </c>
      <c r="B23" s="36" t="inlineStr">
        <is>
          <t>CUST-00358</t>
        </is>
      </c>
      <c r="C23" s="37" t="n"/>
      <c r="D23" s="36" t="inlineStr">
        <is>
          <t>WA</t>
        </is>
      </c>
      <c r="E23" s="36" t="inlineStr">
        <is>
          <t>XLL4ZKLO</t>
        </is>
      </c>
      <c r="F23" s="37" t="inlineStr">
        <is>
          <t>Synergized Secondary Archive</t>
        </is>
      </c>
      <c r="G23" s="38" t="n">
        <v>6</v>
      </c>
      <c r="H23" s="39" t="n">
        <v>237.14</v>
      </c>
      <c r="I23" s="39" t="n">
        <v>1422.84</v>
      </c>
      <c r="J23" s="40" t="n">
        <v>92.4846</v>
      </c>
      <c r="K23" s="36" t="inlineStr">
        <is>
          <t>UPS</t>
        </is>
      </c>
      <c r="L23" s="36" t="inlineStr"/>
      <c r="M23" s="36" t="inlineStr">
        <is>
          <t>2023-01-07</t>
        </is>
      </c>
      <c r="N23" s="36" t="inlineStr">
        <is>
          <t>2023-01-07</t>
        </is>
      </c>
      <c r="O23" s="36" t="inlineStr">
        <is>
          <t>Due on Receipt</t>
        </is>
      </c>
      <c r="P23" s="36" t="inlineStr">
        <is>
          <t>ORD-000012TRK</t>
        </is>
      </c>
      <c r="Q23" s="37" t="inlineStr">
        <is>
          <t>76604 Green Roads Apt. 978</t>
        </is>
      </c>
      <c r="R23" s="37" t="inlineStr">
        <is>
          <t>Kimberlymouth</t>
        </is>
      </c>
      <c r="S23" s="36" t="inlineStr">
        <is>
          <t>70627</t>
        </is>
      </c>
      <c r="T23" s="37" t="inlineStr">
        <is>
          <t>Books</t>
        </is>
      </c>
      <c r="U23" s="37" t="n">
        <v>0</v>
      </c>
      <c r="V23" s="39" t="n">
        <v>122.28</v>
      </c>
    </row>
    <row r="24">
      <c r="A24" s="36" t="inlineStr">
        <is>
          <t>ORD-000013</t>
        </is>
      </c>
      <c r="B24" s="36" t="inlineStr">
        <is>
          <t>CUST-00153</t>
        </is>
      </c>
      <c r="C24" s="37" t="n"/>
      <c r="D24" s="36" t="inlineStr">
        <is>
          <t>NY</t>
        </is>
      </c>
      <c r="E24" s="36" t="inlineStr">
        <is>
          <t>RDMLY4LY</t>
        </is>
      </c>
      <c r="F24" s="37" t="inlineStr">
        <is>
          <t>Adaptive Uniform Success</t>
        </is>
      </c>
      <c r="G24" s="38" t="n">
        <v>3</v>
      </c>
      <c r="H24" s="39" t="n">
        <v>81.56999999999999</v>
      </c>
      <c r="I24" s="39" t="n">
        <v>244.71</v>
      </c>
      <c r="J24" s="40" t="n">
        <v>9.788399999999999</v>
      </c>
      <c r="K24" s="36" t="inlineStr">
        <is>
          <t>Amazon Logistics</t>
        </is>
      </c>
      <c r="L24" s="36" t="inlineStr"/>
      <c r="M24" s="36" t="inlineStr">
        <is>
          <t>2023-01-08</t>
        </is>
      </c>
      <c r="N24" s="36" t="inlineStr">
        <is>
          <t>2023-01-08</t>
        </is>
      </c>
      <c r="O24" s="36" t="inlineStr">
        <is>
          <t>Due on Receipt</t>
        </is>
      </c>
      <c r="P24" s="36" t="inlineStr">
        <is>
          <t>ORD-000013TRK</t>
        </is>
      </c>
      <c r="Q24" s="37" t="inlineStr">
        <is>
          <t>457 Garner Brook</t>
        </is>
      </c>
      <c r="R24" s="37" t="inlineStr">
        <is>
          <t>Gabriellestad</t>
        </is>
      </c>
      <c r="S24" s="36" t="inlineStr">
        <is>
          <t>82451</t>
        </is>
      </c>
      <c r="T24" s="37" t="inlineStr">
        <is>
          <t>Office Supplies</t>
        </is>
      </c>
      <c r="U24" s="37" t="n">
        <v>1</v>
      </c>
      <c r="V24" s="39" t="n">
        <v>35.59</v>
      </c>
    </row>
    <row r="25">
      <c r="A25" s="36" t="inlineStr">
        <is>
          <t>ORD-000013</t>
        </is>
      </c>
      <c r="B25" s="36" t="inlineStr">
        <is>
          <t>CUST-00153</t>
        </is>
      </c>
      <c r="C25" s="37" t="n"/>
      <c r="D25" s="36" t="inlineStr">
        <is>
          <t>NY</t>
        </is>
      </c>
      <c r="E25" s="36" t="inlineStr">
        <is>
          <t>J49ITN7S</t>
        </is>
      </c>
      <c r="F25" s="37" t="inlineStr">
        <is>
          <t>Profit-Focused Real-Time Customer Loyalty</t>
        </is>
      </c>
      <c r="G25" s="38" t="n">
        <v>6</v>
      </c>
      <c r="H25" s="39" t="n">
        <v>227.48</v>
      </c>
      <c r="I25" s="39" t="n">
        <v>1364.88</v>
      </c>
      <c r="J25" s="40" t="n">
        <v>54.5952</v>
      </c>
      <c r="K25" s="36" t="inlineStr">
        <is>
          <t>Amazon Logistics</t>
        </is>
      </c>
      <c r="L25" s="36" t="inlineStr"/>
      <c r="M25" s="36" t="inlineStr">
        <is>
          <t>2023-01-08</t>
        </is>
      </c>
      <c r="N25" s="36" t="inlineStr">
        <is>
          <t>2023-01-08</t>
        </is>
      </c>
      <c r="O25" s="36" t="inlineStr">
        <is>
          <t>Due on Receipt</t>
        </is>
      </c>
      <c r="P25" s="36" t="inlineStr">
        <is>
          <t>ORD-000013TRK</t>
        </is>
      </c>
      <c r="Q25" s="37" t="inlineStr">
        <is>
          <t>457 Garner Brook</t>
        </is>
      </c>
      <c r="R25" s="37" t="inlineStr">
        <is>
          <t>Gabriellestad</t>
        </is>
      </c>
      <c r="S25" s="36" t="inlineStr">
        <is>
          <t>82451</t>
        </is>
      </c>
      <c r="T25" s="37" t="inlineStr">
        <is>
          <t>Toys</t>
        </is>
      </c>
      <c r="U25" s="37" t="n">
        <v>1</v>
      </c>
      <c r="V25" s="39" t="n">
        <v>35.59</v>
      </c>
    </row>
    <row r="26">
      <c r="A26" s="36" t="inlineStr">
        <is>
          <t>ORD-000014</t>
        </is>
      </c>
      <c r="B26" s="36" t="inlineStr">
        <is>
          <t>CUST-00360</t>
        </is>
      </c>
      <c r="C26" s="37" t="n"/>
      <c r="D26" s="36" t="inlineStr">
        <is>
          <t>NH</t>
        </is>
      </c>
      <c r="E26" s="36" t="inlineStr">
        <is>
          <t>X63CFL0U</t>
        </is>
      </c>
      <c r="F26" s="37" t="inlineStr">
        <is>
          <t>Future-Proofed Zero Administration Project</t>
        </is>
      </c>
      <c r="G26" s="38" t="n">
        <v>10</v>
      </c>
      <c r="H26" s="39" t="n">
        <v>339.39</v>
      </c>
      <c r="I26" s="39" t="n">
        <v>3393.9</v>
      </c>
      <c r="J26" s="40" t="n">
        <v>0</v>
      </c>
      <c r="K26" s="36" t="inlineStr">
        <is>
          <t>Amazon Logistics</t>
        </is>
      </c>
      <c r="L26" s="36" t="inlineStr"/>
      <c r="M26" s="36" t="inlineStr">
        <is>
          <t>2023-01-08</t>
        </is>
      </c>
      <c r="N26" s="36" t="inlineStr">
        <is>
          <t>2023-01-08</t>
        </is>
      </c>
      <c r="O26" s="36" t="inlineStr">
        <is>
          <t>Due on Receipt</t>
        </is>
      </c>
      <c r="P26" s="36" t="inlineStr">
        <is>
          <t>ORD-000014TRK</t>
        </is>
      </c>
      <c r="Q26" s="37" t="inlineStr">
        <is>
          <t>276 Reed Mount</t>
        </is>
      </c>
      <c r="R26" s="37" t="inlineStr">
        <is>
          <t>Port Rebecca</t>
        </is>
      </c>
      <c r="S26" s="36" t="inlineStr">
        <is>
          <t>96535</t>
        </is>
      </c>
      <c r="T26" s="37" t="inlineStr">
        <is>
          <t>Books</t>
        </is>
      </c>
      <c r="U26" s="37" t="n">
        <v>0</v>
      </c>
      <c r="V26" s="39" t="n">
        <v>38.65</v>
      </c>
    </row>
    <row r="27">
      <c r="A27" s="36" t="inlineStr">
        <is>
          <t>ORD-000015</t>
        </is>
      </c>
      <c r="B27" s="36" t="inlineStr">
        <is>
          <t>CUST-00495</t>
        </is>
      </c>
      <c r="C27" s="37" t="n"/>
      <c r="D27" s="36" t="inlineStr">
        <is>
          <t>WA</t>
        </is>
      </c>
      <c r="E27" s="36" t="inlineStr">
        <is>
          <t>H2M5ZJA8</t>
        </is>
      </c>
      <c r="F27" s="37" t="inlineStr">
        <is>
          <t>Profound Modular Array</t>
        </is>
      </c>
      <c r="G27" s="38" t="n">
        <v>8</v>
      </c>
      <c r="H27" s="39" t="n">
        <v>26.36</v>
      </c>
      <c r="I27" s="39" t="n">
        <v>210.88</v>
      </c>
      <c r="J27" s="40" t="n">
        <v>13.7072</v>
      </c>
      <c r="K27" s="36" t="inlineStr">
        <is>
          <t>Amazon Logistics</t>
        </is>
      </c>
      <c r="L27" s="36" t="inlineStr"/>
      <c r="M27" s="36" t="inlineStr">
        <is>
          <t>2023-01-09</t>
        </is>
      </c>
      <c r="N27" s="36" t="inlineStr">
        <is>
          <t>2023-01-09</t>
        </is>
      </c>
      <c r="O27" s="36" t="inlineStr">
        <is>
          <t>Due on Receipt</t>
        </is>
      </c>
      <c r="P27" s="36" t="inlineStr">
        <is>
          <t>ORD-000015TRK</t>
        </is>
      </c>
      <c r="Q27" s="37" t="inlineStr">
        <is>
          <t>63831 Amy Island Suite 053</t>
        </is>
      </c>
      <c r="R27" s="37" t="inlineStr">
        <is>
          <t>Moyertown</t>
        </is>
      </c>
      <c r="S27" s="36" t="inlineStr">
        <is>
          <t>65096</t>
        </is>
      </c>
      <c r="T27" s="37" t="inlineStr">
        <is>
          <t>Clothing</t>
        </is>
      </c>
      <c r="U27" s="37" t="n">
        <v>1</v>
      </c>
      <c r="V27" s="39" t="n">
        <v>49.45</v>
      </c>
    </row>
    <row r="28">
      <c r="A28" s="36" t="inlineStr">
        <is>
          <t>ORD-000015</t>
        </is>
      </c>
      <c r="B28" s="36" t="inlineStr">
        <is>
          <t>CUST-00495</t>
        </is>
      </c>
      <c r="C28" s="37" t="n"/>
      <c r="D28" s="36" t="inlineStr">
        <is>
          <t>WA</t>
        </is>
      </c>
      <c r="E28" s="36" t="inlineStr">
        <is>
          <t>FTU2GC5W</t>
        </is>
      </c>
      <c r="F28" s="37" t="inlineStr">
        <is>
          <t>Front-Line Non-Volatile Artificial Intelligence</t>
        </is>
      </c>
      <c r="G28" s="38" t="n">
        <v>10</v>
      </c>
      <c r="H28" s="39" t="n">
        <v>268.28</v>
      </c>
      <c r="I28" s="39" t="n">
        <v>2682.8</v>
      </c>
      <c r="J28" s="40" t="n">
        <v>174.382</v>
      </c>
      <c r="K28" s="36" t="inlineStr">
        <is>
          <t>Amazon Logistics</t>
        </is>
      </c>
      <c r="L28" s="36" t="inlineStr"/>
      <c r="M28" s="36" t="inlineStr">
        <is>
          <t>2023-01-09</t>
        </is>
      </c>
      <c r="N28" s="36" t="inlineStr">
        <is>
          <t>2023-01-09</t>
        </is>
      </c>
      <c r="O28" s="36" t="inlineStr">
        <is>
          <t>Due on Receipt</t>
        </is>
      </c>
      <c r="P28" s="36" t="inlineStr">
        <is>
          <t>ORD-000015TRK</t>
        </is>
      </c>
      <c r="Q28" s="37" t="inlineStr">
        <is>
          <t>63831 Amy Island Suite 053</t>
        </is>
      </c>
      <c r="R28" s="37" t="inlineStr">
        <is>
          <t>Moyertown</t>
        </is>
      </c>
      <c r="S28" s="36" t="inlineStr">
        <is>
          <t>65096</t>
        </is>
      </c>
      <c r="T28" s="37" t="inlineStr">
        <is>
          <t>Electronics</t>
        </is>
      </c>
      <c r="U28" s="37" t="n">
        <v>1</v>
      </c>
      <c r="V28" s="39" t="n">
        <v>49.45</v>
      </c>
    </row>
    <row r="29">
      <c r="A29" s="36" t="inlineStr">
        <is>
          <t>ORD-000015</t>
        </is>
      </c>
      <c r="B29" s="36" t="inlineStr">
        <is>
          <t>CUST-00495</t>
        </is>
      </c>
      <c r="C29" s="37" t="n"/>
      <c r="D29" s="36" t="inlineStr">
        <is>
          <t>WA</t>
        </is>
      </c>
      <c r="E29" s="36" t="inlineStr">
        <is>
          <t>FTTD96QE</t>
        </is>
      </c>
      <c r="F29" s="37" t="inlineStr">
        <is>
          <t>Self-Enabling Exuding Productivity</t>
        </is>
      </c>
      <c r="G29" s="38" t="n">
        <v>8</v>
      </c>
      <c r="H29" s="39" t="n">
        <v>400</v>
      </c>
      <c r="I29" s="39" t="n">
        <v>3200</v>
      </c>
      <c r="J29" s="40" t="n">
        <v>208</v>
      </c>
      <c r="K29" s="36" t="inlineStr">
        <is>
          <t>Amazon Logistics</t>
        </is>
      </c>
      <c r="L29" s="36" t="inlineStr"/>
      <c r="M29" s="36" t="inlineStr">
        <is>
          <t>2023-01-09</t>
        </is>
      </c>
      <c r="N29" s="36" t="inlineStr">
        <is>
          <t>2023-01-09</t>
        </is>
      </c>
      <c r="O29" s="36" t="inlineStr">
        <is>
          <t>Due on Receipt</t>
        </is>
      </c>
      <c r="P29" s="36" t="inlineStr">
        <is>
          <t>ORD-000015TRK</t>
        </is>
      </c>
      <c r="Q29" s="37" t="inlineStr">
        <is>
          <t>63831 Amy Island Suite 053</t>
        </is>
      </c>
      <c r="R29" s="37" t="inlineStr">
        <is>
          <t>Moyertown</t>
        </is>
      </c>
      <c r="S29" s="36" t="inlineStr">
        <is>
          <t>65096</t>
        </is>
      </c>
      <c r="T29" s="37" t="inlineStr">
        <is>
          <t>Electronics</t>
        </is>
      </c>
      <c r="U29" s="37" t="n">
        <v>1</v>
      </c>
      <c r="V29" s="39" t="n">
        <v>49.45</v>
      </c>
    </row>
    <row r="30">
      <c r="A30" s="36" t="inlineStr">
        <is>
          <t>ORD-000016</t>
        </is>
      </c>
      <c r="B30" s="36" t="inlineStr">
        <is>
          <t>CUST-00133</t>
        </is>
      </c>
      <c r="C30" s="37" t="n"/>
      <c r="D30" s="36" t="inlineStr">
        <is>
          <t>FL</t>
        </is>
      </c>
      <c r="E30" s="36" t="inlineStr">
        <is>
          <t>HL9XPSEI</t>
        </is>
      </c>
      <c r="F30" s="37" t="inlineStr">
        <is>
          <t>Adaptive Well-Modulated Workforce</t>
        </is>
      </c>
      <c r="G30" s="38" t="n">
        <v>3</v>
      </c>
      <c r="H30" s="39" t="n">
        <v>90.56</v>
      </c>
      <c r="I30" s="39" t="n">
        <v>271.68</v>
      </c>
      <c r="J30" s="40" t="n">
        <v>16.3008</v>
      </c>
      <c r="K30" s="36" t="inlineStr">
        <is>
          <t>USPS</t>
        </is>
      </c>
      <c r="L30" s="36" t="inlineStr"/>
      <c r="M30" s="36" t="inlineStr">
        <is>
          <t>2023-01-09</t>
        </is>
      </c>
      <c r="N30" s="36" t="inlineStr">
        <is>
          <t>2023-01-09</t>
        </is>
      </c>
      <c r="O30" s="36" t="inlineStr">
        <is>
          <t>Due on Receipt</t>
        </is>
      </c>
      <c r="P30" s="36" t="inlineStr">
        <is>
          <t>ORD-000016TRK</t>
        </is>
      </c>
      <c r="Q30" s="37" t="inlineStr">
        <is>
          <t>34333 Mary Knolls</t>
        </is>
      </c>
      <c r="R30" s="37" t="inlineStr">
        <is>
          <t>Port Daniel</t>
        </is>
      </c>
      <c r="S30" s="36" t="inlineStr">
        <is>
          <t>10788</t>
        </is>
      </c>
      <c r="T30" s="37" t="inlineStr">
        <is>
          <t>Clothing</t>
        </is>
      </c>
      <c r="U30" s="37" t="n">
        <v>1</v>
      </c>
      <c r="V30" s="39" t="n">
        <v>21.65</v>
      </c>
    </row>
    <row r="31">
      <c r="A31" s="36" t="inlineStr">
        <is>
          <t>ORD-000017</t>
        </is>
      </c>
      <c r="B31" s="36" t="inlineStr">
        <is>
          <t>CUST-00250</t>
        </is>
      </c>
      <c r="C31" s="37" t="n"/>
      <c r="D31" s="36" t="inlineStr">
        <is>
          <t>TX</t>
        </is>
      </c>
      <c r="E31" s="36" t="inlineStr">
        <is>
          <t>CKJLTEIY</t>
        </is>
      </c>
      <c r="F31" s="37" t="inlineStr">
        <is>
          <t>Centralized Discrete Alliance</t>
        </is>
      </c>
      <c r="G31" s="38" t="n">
        <v>10</v>
      </c>
      <c r="H31" s="39" t="n">
        <v>221.89</v>
      </c>
      <c r="I31" s="39" t="n">
        <v>2218.9</v>
      </c>
      <c r="J31" s="40" t="n">
        <v>138.68125</v>
      </c>
      <c r="K31" s="36" t="inlineStr">
        <is>
          <t>USPS</t>
        </is>
      </c>
      <c r="L31" s="36" t="inlineStr"/>
      <c r="M31" s="36" t="inlineStr">
        <is>
          <t>2023-01-09</t>
        </is>
      </c>
      <c r="N31" s="36" t="inlineStr">
        <is>
          <t>2023-01-09</t>
        </is>
      </c>
      <c r="O31" s="36" t="inlineStr">
        <is>
          <t>Due on Receipt</t>
        </is>
      </c>
      <c r="P31" s="36" t="inlineStr">
        <is>
          <t>ORD-000017TRK</t>
        </is>
      </c>
      <c r="Q31" s="37" t="inlineStr">
        <is>
          <t>13122 Robert Coves Suite 583</t>
        </is>
      </c>
      <c r="R31" s="37" t="inlineStr">
        <is>
          <t>New Randall</t>
        </is>
      </c>
      <c r="S31" s="36" t="inlineStr">
        <is>
          <t>56584</t>
        </is>
      </c>
      <c r="T31" s="37" t="inlineStr">
        <is>
          <t>Toys</t>
        </is>
      </c>
      <c r="U31" s="37" t="n">
        <v>1</v>
      </c>
      <c r="V31" s="39" t="n">
        <v>53.47</v>
      </c>
    </row>
    <row r="32">
      <c r="A32" s="36" t="inlineStr">
        <is>
          <t>ORD-000017</t>
        </is>
      </c>
      <c r="B32" s="36" t="inlineStr">
        <is>
          <t>CUST-00250</t>
        </is>
      </c>
      <c r="C32" s="37" t="n"/>
      <c r="D32" s="36" t="inlineStr">
        <is>
          <t>TX</t>
        </is>
      </c>
      <c r="E32" s="36" t="inlineStr">
        <is>
          <t>J43D5IQV</t>
        </is>
      </c>
      <c r="F32" s="37" t="inlineStr">
        <is>
          <t>Multi-Lateral Directional Challenge</t>
        </is>
      </c>
      <c r="G32" s="38" t="n">
        <v>5</v>
      </c>
      <c r="H32" s="39" t="n">
        <v>181.32</v>
      </c>
      <c r="I32" s="39" t="n">
        <v>906.6</v>
      </c>
      <c r="J32" s="40" t="n">
        <v>56.66249999999999</v>
      </c>
      <c r="K32" s="36" t="inlineStr">
        <is>
          <t>USPS</t>
        </is>
      </c>
      <c r="L32" s="36" t="inlineStr"/>
      <c r="M32" s="36" t="inlineStr">
        <is>
          <t>2023-01-09</t>
        </is>
      </c>
      <c r="N32" s="36" t="inlineStr">
        <is>
          <t>2023-01-09</t>
        </is>
      </c>
      <c r="O32" s="36" t="inlineStr">
        <is>
          <t>Due on Receipt</t>
        </is>
      </c>
      <c r="P32" s="36" t="inlineStr">
        <is>
          <t>ORD-000017TRK</t>
        </is>
      </c>
      <c r="Q32" s="37" t="inlineStr">
        <is>
          <t>13122 Robert Coves Suite 583</t>
        </is>
      </c>
      <c r="R32" s="37" t="inlineStr">
        <is>
          <t>New Randall</t>
        </is>
      </c>
      <c r="S32" s="36" t="inlineStr">
        <is>
          <t>56584</t>
        </is>
      </c>
      <c r="T32" s="37" t="inlineStr">
        <is>
          <t>Sports</t>
        </is>
      </c>
      <c r="U32" s="37" t="n">
        <v>1</v>
      </c>
      <c r="V32" s="39" t="n">
        <v>53.47</v>
      </c>
    </row>
    <row r="33">
      <c r="A33" s="36" t="inlineStr">
        <is>
          <t>ORD-000018</t>
        </is>
      </c>
      <c r="B33" s="36" t="inlineStr">
        <is>
          <t>CUST-00361</t>
        </is>
      </c>
      <c r="C33" s="37" t="n"/>
      <c r="D33" s="36" t="inlineStr">
        <is>
          <t>AL</t>
        </is>
      </c>
      <c r="E33" s="36" t="inlineStr">
        <is>
          <t>0PDW5PY6</t>
        </is>
      </c>
      <c r="F33" s="37" t="inlineStr">
        <is>
          <t>Integrated Disintermediate Approach</t>
        </is>
      </c>
      <c r="G33" s="38" t="n">
        <v>5</v>
      </c>
      <c r="H33" s="39" t="n">
        <v>339.13</v>
      </c>
      <c r="I33" s="39" t="n">
        <v>1695.65</v>
      </c>
      <c r="J33" s="40" t="n">
        <v>67.82600000000001</v>
      </c>
      <c r="K33" s="36" t="inlineStr">
        <is>
          <t>DHL</t>
        </is>
      </c>
      <c r="L33" s="36" t="inlineStr"/>
      <c r="M33" s="36" t="inlineStr">
        <is>
          <t>2023-01-09</t>
        </is>
      </c>
      <c r="N33" s="36" t="inlineStr">
        <is>
          <t>2023-01-09</t>
        </is>
      </c>
      <c r="O33" s="36" t="inlineStr">
        <is>
          <t>Due on Receipt</t>
        </is>
      </c>
      <c r="P33" s="36" t="inlineStr">
        <is>
          <t>ORD-000018TRK</t>
        </is>
      </c>
      <c r="Q33" s="37" t="inlineStr">
        <is>
          <t>449 Heather Causeway</t>
        </is>
      </c>
      <c r="R33" s="37" t="inlineStr">
        <is>
          <t>Ashleyborough</t>
        </is>
      </c>
      <c r="S33" s="36" t="inlineStr">
        <is>
          <t>57772</t>
        </is>
      </c>
      <c r="T33" s="37" t="inlineStr">
        <is>
          <t>Electronics</t>
        </is>
      </c>
      <c r="U33" s="37" t="n">
        <v>1</v>
      </c>
      <c r="V33" s="39" t="n">
        <v>77.69</v>
      </c>
    </row>
    <row r="34">
      <c r="A34" s="36" t="inlineStr">
        <is>
          <t>ORD-000019</t>
        </is>
      </c>
      <c r="B34" s="36" t="inlineStr">
        <is>
          <t>CUST-00182</t>
        </is>
      </c>
      <c r="C34" s="37" t="n"/>
      <c r="D34" s="36" t="inlineStr">
        <is>
          <t>NY</t>
        </is>
      </c>
      <c r="E34" s="36" t="inlineStr">
        <is>
          <t>FEL6246H</t>
        </is>
      </c>
      <c r="F34" s="37" t="inlineStr">
        <is>
          <t>Focused Zero Administration Frame</t>
        </is>
      </c>
      <c r="G34" s="38" t="n">
        <v>4</v>
      </c>
      <c r="H34" s="39" t="n">
        <v>273.09</v>
      </c>
      <c r="I34" s="39" t="n">
        <v>1092.36</v>
      </c>
      <c r="J34" s="40" t="n">
        <v>43.69439999999999</v>
      </c>
      <c r="K34" s="36" t="inlineStr">
        <is>
          <t>USPS</t>
        </is>
      </c>
      <c r="L34" s="36" t="inlineStr"/>
      <c r="M34" s="36" t="inlineStr">
        <is>
          <t>2023-01-09</t>
        </is>
      </c>
      <c r="N34" s="36" t="inlineStr">
        <is>
          <t>2023-01-09</t>
        </is>
      </c>
      <c r="O34" s="36" t="inlineStr">
        <is>
          <t>Due on Receipt</t>
        </is>
      </c>
      <c r="P34" s="36" t="inlineStr">
        <is>
          <t>ORD-000019TRK</t>
        </is>
      </c>
      <c r="Q34" s="37" t="inlineStr">
        <is>
          <t>53153 Joel Loop Apt. 631</t>
        </is>
      </c>
      <c r="R34" s="37" t="inlineStr">
        <is>
          <t>Richardston</t>
        </is>
      </c>
      <c r="S34" s="36" t="inlineStr">
        <is>
          <t>57630</t>
        </is>
      </c>
      <c r="T34" s="37" t="inlineStr">
        <is>
          <t>Office Supplies</t>
        </is>
      </c>
      <c r="U34" s="37" t="n">
        <v>1</v>
      </c>
      <c r="V34" s="39" t="n">
        <v>22.72</v>
      </c>
    </row>
    <row r="35">
      <c r="A35" s="36" t="inlineStr">
        <is>
          <t>ORD-000020</t>
        </is>
      </c>
      <c r="B35" s="36" t="inlineStr">
        <is>
          <t>CUST-00149</t>
        </is>
      </c>
      <c r="C35" s="37" t="inlineStr">
        <is>
          <t>Carroll-Robinson</t>
        </is>
      </c>
      <c r="D35" s="36" t="inlineStr">
        <is>
          <t>DE</t>
        </is>
      </c>
      <c r="E35" s="36" t="inlineStr">
        <is>
          <t>7R3OCWBF</t>
        </is>
      </c>
      <c r="F35" s="37" t="inlineStr">
        <is>
          <t>Right-Sized Maximized Moderator</t>
        </is>
      </c>
      <c r="G35" s="38" t="n">
        <v>10</v>
      </c>
      <c r="H35" s="39" t="n">
        <v>143.03</v>
      </c>
      <c r="I35" s="39" t="n">
        <v>1430.3</v>
      </c>
      <c r="J35" s="40" t="n">
        <v>0</v>
      </c>
      <c r="K35" s="36" t="inlineStr">
        <is>
          <t>UPS</t>
        </is>
      </c>
      <c r="L35" s="36" t="inlineStr"/>
      <c r="M35" s="36" t="inlineStr">
        <is>
          <t>2023-01-09</t>
        </is>
      </c>
      <c r="N35" s="36" t="inlineStr">
        <is>
          <t>2023-01-09</t>
        </is>
      </c>
      <c r="O35" s="36" t="inlineStr">
        <is>
          <t>Due on Receipt</t>
        </is>
      </c>
      <c r="P35" s="36" t="inlineStr">
        <is>
          <t>ORD-000020TRK</t>
        </is>
      </c>
      <c r="Q35" s="37" t="inlineStr">
        <is>
          <t>1390 Brown Pine Apt. 589</t>
        </is>
      </c>
      <c r="R35" s="37" t="inlineStr">
        <is>
          <t>West Wayne</t>
        </is>
      </c>
      <c r="S35" s="36" t="inlineStr">
        <is>
          <t>29441</t>
        </is>
      </c>
      <c r="T35" s="37" t="inlineStr">
        <is>
          <t>Clothing</t>
        </is>
      </c>
      <c r="U35" s="37" t="n">
        <v>1</v>
      </c>
      <c r="V35" s="39" t="n">
        <v>13.32</v>
      </c>
    </row>
    <row r="36">
      <c r="A36" s="36" t="inlineStr">
        <is>
          <t>ORD-000021</t>
        </is>
      </c>
      <c r="B36" s="36" t="inlineStr">
        <is>
          <t>CUST-00304</t>
        </is>
      </c>
      <c r="C36" s="37" t="inlineStr">
        <is>
          <t>Clements, Moreno and Sanders</t>
        </is>
      </c>
      <c r="D36" s="36" t="inlineStr">
        <is>
          <t>CA</t>
        </is>
      </c>
      <c r="E36" s="36" t="inlineStr">
        <is>
          <t>H2M5ZJA8</t>
        </is>
      </c>
      <c r="F36" s="37" t="inlineStr">
        <is>
          <t>Profound Modular Array</t>
        </is>
      </c>
      <c r="G36" s="38" t="n">
        <v>6</v>
      </c>
      <c r="H36" s="39" t="n">
        <v>26.36</v>
      </c>
      <c r="I36" s="39" t="n">
        <v>158.16</v>
      </c>
      <c r="J36" s="40" t="n">
        <v>11.4666</v>
      </c>
      <c r="K36" s="36" t="inlineStr">
        <is>
          <t>Amazon Logistics</t>
        </is>
      </c>
      <c r="L36" s="36" t="inlineStr"/>
      <c r="M36" s="36" t="inlineStr">
        <is>
          <t>2023-01-09</t>
        </is>
      </c>
      <c r="N36" s="36" t="inlineStr">
        <is>
          <t>2023-01-09</t>
        </is>
      </c>
      <c r="O36" s="36" t="inlineStr">
        <is>
          <t>Due on Receipt</t>
        </is>
      </c>
      <c r="P36" s="36" t="inlineStr">
        <is>
          <t>ORD-000021TRK</t>
        </is>
      </c>
      <c r="Q36" s="37" t="inlineStr">
        <is>
          <t>9538 Paul Rapids</t>
        </is>
      </c>
      <c r="R36" s="37" t="inlineStr">
        <is>
          <t>New Jeff</t>
        </is>
      </c>
      <c r="S36" s="36" t="inlineStr">
        <is>
          <t>74026</t>
        </is>
      </c>
      <c r="T36" s="37" t="inlineStr">
        <is>
          <t>Clothing</t>
        </is>
      </c>
      <c r="U36" s="37" t="n">
        <v>1</v>
      </c>
      <c r="V36" s="39" t="n">
        <v>11.45</v>
      </c>
    </row>
    <row r="37">
      <c r="A37" s="36" t="inlineStr">
        <is>
          <t>ORD-000022</t>
        </is>
      </c>
      <c r="B37" s="36" t="inlineStr">
        <is>
          <t>CUST-00070</t>
        </is>
      </c>
      <c r="C37" s="37" t="n"/>
      <c r="D37" s="36" t="inlineStr">
        <is>
          <t>PA</t>
        </is>
      </c>
      <c r="E37" s="36" t="inlineStr">
        <is>
          <t>0Y6DPBHS</t>
        </is>
      </c>
      <c r="F37" s="37" t="inlineStr">
        <is>
          <t>Sharable Bifurcated Algorithm</t>
        </is>
      </c>
      <c r="G37" s="38" t="n">
        <v>4</v>
      </c>
      <c r="H37" s="39" t="n">
        <v>16.36</v>
      </c>
      <c r="I37" s="39" t="n">
        <v>65.44</v>
      </c>
      <c r="J37" s="40" t="n">
        <v>3.9264</v>
      </c>
      <c r="K37" s="36" t="inlineStr">
        <is>
          <t>USPS</t>
        </is>
      </c>
      <c r="L37" s="36" t="inlineStr"/>
      <c r="M37" s="36" t="inlineStr">
        <is>
          <t>2023-01-10</t>
        </is>
      </c>
      <c r="N37" s="36" t="inlineStr">
        <is>
          <t>2023-01-10</t>
        </is>
      </c>
      <c r="O37" s="36" t="inlineStr">
        <is>
          <t>Due on Receipt</t>
        </is>
      </c>
      <c r="P37" s="36" t="inlineStr">
        <is>
          <t>ORD-000022TRK</t>
        </is>
      </c>
      <c r="Q37" s="37" t="inlineStr">
        <is>
          <t>7154 Jennifer Park Apt. 712</t>
        </is>
      </c>
      <c r="R37" s="37" t="inlineStr">
        <is>
          <t>Adamfurt</t>
        </is>
      </c>
      <c r="S37" s="36" t="inlineStr">
        <is>
          <t>44045</t>
        </is>
      </c>
      <c r="T37" s="37" t="inlineStr">
        <is>
          <t>Sports</t>
        </is>
      </c>
      <c r="U37" s="37" t="n">
        <v>1</v>
      </c>
      <c r="V37" s="39" t="n">
        <v>81.83</v>
      </c>
    </row>
    <row r="38">
      <c r="A38" s="36" t="inlineStr">
        <is>
          <t>ORD-000022</t>
        </is>
      </c>
      <c r="B38" s="36" t="inlineStr">
        <is>
          <t>CUST-00070</t>
        </is>
      </c>
      <c r="C38" s="37" t="n"/>
      <c r="D38" s="36" t="inlineStr">
        <is>
          <t>PA</t>
        </is>
      </c>
      <c r="E38" s="36" t="inlineStr">
        <is>
          <t>253J2D54</t>
        </is>
      </c>
      <c r="F38" s="37" t="inlineStr">
        <is>
          <t>Multi-Tiered Even-Keeled Knowledgebase</t>
        </is>
      </c>
      <c r="G38" s="38" t="n">
        <v>10</v>
      </c>
      <c r="H38" s="39" t="n">
        <v>254.62</v>
      </c>
      <c r="I38" s="39" t="n">
        <v>2546.2</v>
      </c>
      <c r="J38" s="40" t="n">
        <v>152.772</v>
      </c>
      <c r="K38" s="36" t="inlineStr">
        <is>
          <t>USPS</t>
        </is>
      </c>
      <c r="L38" s="36" t="inlineStr"/>
      <c r="M38" s="36" t="inlineStr">
        <is>
          <t>2023-01-10</t>
        </is>
      </c>
      <c r="N38" s="36" t="inlineStr">
        <is>
          <t>2023-01-10</t>
        </is>
      </c>
      <c r="O38" s="36" t="inlineStr">
        <is>
          <t>Due on Receipt</t>
        </is>
      </c>
      <c r="P38" s="36" t="inlineStr">
        <is>
          <t>ORD-000022TRK</t>
        </is>
      </c>
      <c r="Q38" s="37" t="inlineStr">
        <is>
          <t>7154 Jennifer Park Apt. 712</t>
        </is>
      </c>
      <c r="R38" s="37" t="inlineStr">
        <is>
          <t>Adamfurt</t>
        </is>
      </c>
      <c r="S38" s="36" t="inlineStr">
        <is>
          <t>44045</t>
        </is>
      </c>
      <c r="T38" s="37" t="inlineStr">
        <is>
          <t>Electronics</t>
        </is>
      </c>
      <c r="U38" s="37" t="n">
        <v>1</v>
      </c>
      <c r="V38" s="39" t="n">
        <v>81.83</v>
      </c>
    </row>
    <row r="39">
      <c r="A39" s="36" t="inlineStr">
        <is>
          <t>ORD-000023</t>
        </is>
      </c>
      <c r="B39" s="36" t="inlineStr">
        <is>
          <t>CUST-00082</t>
        </is>
      </c>
      <c r="C39" s="37" t="n"/>
      <c r="D39" s="36" t="inlineStr">
        <is>
          <t>NV</t>
        </is>
      </c>
      <c r="E39" s="36" t="inlineStr">
        <is>
          <t>7E8G8JDP</t>
        </is>
      </c>
      <c r="F39" s="37" t="inlineStr">
        <is>
          <t>Multi-Layered Heuristic Database</t>
        </is>
      </c>
      <c r="G39" s="38" t="n">
        <v>4</v>
      </c>
      <c r="H39" s="39" t="n">
        <v>232.59</v>
      </c>
      <c r="I39" s="39" t="n">
        <v>930.36</v>
      </c>
      <c r="J39" s="40" t="n">
        <v>63.72966</v>
      </c>
      <c r="K39" s="36" t="inlineStr">
        <is>
          <t>FedEx</t>
        </is>
      </c>
      <c r="L39" s="36" t="inlineStr"/>
      <c r="M39" s="36" t="inlineStr">
        <is>
          <t>2023-01-10</t>
        </is>
      </c>
      <c r="N39" s="36" t="inlineStr">
        <is>
          <t>2023-01-10</t>
        </is>
      </c>
      <c r="O39" s="36" t="inlineStr">
        <is>
          <t>Due on Receipt</t>
        </is>
      </c>
      <c r="P39" s="36" t="inlineStr">
        <is>
          <t>ORD-000023TRK</t>
        </is>
      </c>
      <c r="Q39" s="37" t="inlineStr">
        <is>
          <t>89836 Lucas Tunnel Apt. 761</t>
        </is>
      </c>
      <c r="R39" s="37" t="inlineStr">
        <is>
          <t>South Danielle</t>
        </is>
      </c>
      <c r="S39" s="36" t="inlineStr">
        <is>
          <t>09808</t>
        </is>
      </c>
      <c r="T39" s="37" t="inlineStr">
        <is>
          <t>Sports</t>
        </is>
      </c>
      <c r="U39" s="37" t="n">
        <v>1</v>
      </c>
      <c r="V39" s="39" t="n">
        <v>32.71</v>
      </c>
    </row>
    <row r="40">
      <c r="A40" s="36" t="inlineStr">
        <is>
          <t>ORD-000024</t>
        </is>
      </c>
      <c r="B40" s="36" t="inlineStr">
        <is>
          <t>CUST-00446</t>
        </is>
      </c>
      <c r="C40" s="37" t="n"/>
      <c r="D40" s="36" t="inlineStr">
        <is>
          <t>WA</t>
        </is>
      </c>
      <c r="E40" s="36" t="inlineStr">
        <is>
          <t>7R3OCWBF</t>
        </is>
      </c>
      <c r="F40" s="37" t="inlineStr">
        <is>
          <t>Right-Sized Maximized Moderator</t>
        </is>
      </c>
      <c r="G40" s="38" t="n">
        <v>7</v>
      </c>
      <c r="H40" s="39" t="n">
        <v>143.03</v>
      </c>
      <c r="I40" s="39" t="n">
        <v>1001.21</v>
      </c>
      <c r="J40" s="40" t="n">
        <v>65.07865000000001</v>
      </c>
      <c r="K40" s="36" t="inlineStr">
        <is>
          <t>Amazon Logistics</t>
        </is>
      </c>
      <c r="L40" s="36" t="inlineStr"/>
      <c r="M40" s="36" t="inlineStr">
        <is>
          <t>2023-01-10</t>
        </is>
      </c>
      <c r="N40" s="36" t="inlineStr">
        <is>
          <t>2023-01-10</t>
        </is>
      </c>
      <c r="O40" s="36" t="inlineStr">
        <is>
          <t>Due on Receipt</t>
        </is>
      </c>
      <c r="P40" s="36" t="inlineStr">
        <is>
          <t>ORD-000024TRK</t>
        </is>
      </c>
      <c r="Q40" s="37" t="inlineStr">
        <is>
          <t>3721 Fernando Rest Apt. 162</t>
        </is>
      </c>
      <c r="R40" s="37" t="inlineStr">
        <is>
          <t>West Stevenfort</t>
        </is>
      </c>
      <c r="S40" s="36" t="inlineStr">
        <is>
          <t>89305</t>
        </is>
      </c>
      <c r="T40" s="37" t="inlineStr">
        <is>
          <t>Clothing</t>
        </is>
      </c>
      <c r="U40" s="37" t="n">
        <v>1</v>
      </c>
      <c r="V40" s="39" t="n">
        <v>21.92</v>
      </c>
    </row>
    <row r="41">
      <c r="A41" s="36" t="inlineStr">
        <is>
          <t>ORD-000024</t>
        </is>
      </c>
      <c r="B41" s="36" t="inlineStr">
        <is>
          <t>CUST-00446</t>
        </is>
      </c>
      <c r="C41" s="37" t="n"/>
      <c r="D41" s="36" t="inlineStr">
        <is>
          <t>WA</t>
        </is>
      </c>
      <c r="E41" s="36" t="inlineStr">
        <is>
          <t>AZYTJXEP</t>
        </is>
      </c>
      <c r="F41" s="37" t="inlineStr">
        <is>
          <t>Realigned Dedicated Structure</t>
        </is>
      </c>
      <c r="G41" s="38" t="n">
        <v>1</v>
      </c>
      <c r="H41" s="39" t="n">
        <v>300.4</v>
      </c>
      <c r="I41" s="39" t="n">
        <v>300.4</v>
      </c>
      <c r="J41" s="40" t="n">
        <v>19.526</v>
      </c>
      <c r="K41" s="36" t="inlineStr">
        <is>
          <t>Amazon Logistics</t>
        </is>
      </c>
      <c r="L41" s="36" t="inlineStr"/>
      <c r="M41" s="36" t="inlineStr">
        <is>
          <t>2023-01-10</t>
        </is>
      </c>
      <c r="N41" s="36" t="inlineStr">
        <is>
          <t>2023-01-10</t>
        </is>
      </c>
      <c r="O41" s="36" t="inlineStr">
        <is>
          <t>Due on Receipt</t>
        </is>
      </c>
      <c r="P41" s="36" t="inlineStr">
        <is>
          <t>ORD-000024TRK</t>
        </is>
      </c>
      <c r="Q41" s="37" t="inlineStr">
        <is>
          <t>3721 Fernando Rest Apt. 162</t>
        </is>
      </c>
      <c r="R41" s="37" t="inlineStr">
        <is>
          <t>West Stevenfort</t>
        </is>
      </c>
      <c r="S41" s="36" t="inlineStr">
        <is>
          <t>89305</t>
        </is>
      </c>
      <c r="T41" s="37" t="inlineStr">
        <is>
          <t>Beauty</t>
        </is>
      </c>
      <c r="U41" s="37" t="n">
        <v>1</v>
      </c>
      <c r="V41" s="39" t="n">
        <v>21.92</v>
      </c>
    </row>
    <row r="42">
      <c r="A42" s="36" t="inlineStr">
        <is>
          <t>ORD-000024</t>
        </is>
      </c>
      <c r="B42" s="36" t="inlineStr">
        <is>
          <t>CUST-00446</t>
        </is>
      </c>
      <c r="C42" s="37" t="n"/>
      <c r="D42" s="36" t="inlineStr">
        <is>
          <t>WA</t>
        </is>
      </c>
      <c r="E42" s="36" t="inlineStr">
        <is>
          <t>2IAGL58K</t>
        </is>
      </c>
      <c r="F42" s="37" t="inlineStr">
        <is>
          <t>Sharable High-Level Complexity</t>
        </is>
      </c>
      <c r="G42" s="38" t="n">
        <v>5</v>
      </c>
      <c r="H42" s="39" t="n">
        <v>304.75</v>
      </c>
      <c r="I42" s="39" t="n">
        <v>1523.75</v>
      </c>
      <c r="J42" s="40" t="n">
        <v>99.04375</v>
      </c>
      <c r="K42" s="36" t="inlineStr">
        <is>
          <t>Amazon Logistics</t>
        </is>
      </c>
      <c r="L42" s="36" t="inlineStr"/>
      <c r="M42" s="36" t="inlineStr">
        <is>
          <t>2023-01-10</t>
        </is>
      </c>
      <c r="N42" s="36" t="inlineStr">
        <is>
          <t>2023-01-10</t>
        </is>
      </c>
      <c r="O42" s="36" t="inlineStr">
        <is>
          <t>Due on Receipt</t>
        </is>
      </c>
      <c r="P42" s="36" t="inlineStr">
        <is>
          <t>ORD-000024TRK</t>
        </is>
      </c>
      <c r="Q42" s="37" t="inlineStr">
        <is>
          <t>3721 Fernando Rest Apt. 162</t>
        </is>
      </c>
      <c r="R42" s="37" t="inlineStr">
        <is>
          <t>West Stevenfort</t>
        </is>
      </c>
      <c r="S42" s="36" t="inlineStr">
        <is>
          <t>89305</t>
        </is>
      </c>
      <c r="T42" s="37" t="inlineStr">
        <is>
          <t>Home &amp; Garden</t>
        </is>
      </c>
      <c r="U42" s="37" t="n">
        <v>1</v>
      </c>
      <c r="V42" s="39" t="n">
        <v>21.92</v>
      </c>
    </row>
    <row r="43">
      <c r="A43" s="36" t="inlineStr">
        <is>
          <t>ORD-000025</t>
        </is>
      </c>
      <c r="B43" s="36" t="inlineStr">
        <is>
          <t>CUST-00188</t>
        </is>
      </c>
      <c r="C43" s="37" t="n"/>
      <c r="D43" s="36" t="inlineStr">
        <is>
          <t>MS</t>
        </is>
      </c>
      <c r="E43" s="36" t="inlineStr">
        <is>
          <t>YIHAIR4C</t>
        </is>
      </c>
      <c r="F43" s="37" t="inlineStr">
        <is>
          <t>Diverse Maximized Implementation</t>
        </is>
      </c>
      <c r="G43" s="38" t="n">
        <v>7</v>
      </c>
      <c r="H43" s="39" t="n">
        <v>170.14</v>
      </c>
      <c r="I43" s="39" t="n">
        <v>1190.98</v>
      </c>
      <c r="J43" s="40" t="n">
        <v>83.36860000000001</v>
      </c>
      <c r="K43" s="36" t="inlineStr">
        <is>
          <t>UPS</t>
        </is>
      </c>
      <c r="L43" s="36" t="inlineStr"/>
      <c r="M43" s="36" t="inlineStr">
        <is>
          <t>2023-01-10</t>
        </is>
      </c>
      <c r="N43" s="36" t="inlineStr">
        <is>
          <t>2023-01-10</t>
        </is>
      </c>
      <c r="O43" s="36" t="inlineStr">
        <is>
          <t>Due on Receipt</t>
        </is>
      </c>
      <c r="P43" s="36" t="inlineStr">
        <is>
          <t>ORD-000025TRK</t>
        </is>
      </c>
      <c r="Q43" s="37" t="inlineStr">
        <is>
          <t>57828 Martinez Burg Suite 727</t>
        </is>
      </c>
      <c r="R43" s="37" t="inlineStr">
        <is>
          <t>Ericside</t>
        </is>
      </c>
      <c r="S43" s="36" t="inlineStr">
        <is>
          <t>67008</t>
        </is>
      </c>
      <c r="T43" s="37" t="inlineStr">
        <is>
          <t>Sports</t>
        </is>
      </c>
      <c r="U43" s="37" t="n">
        <v>1</v>
      </c>
      <c r="V43" s="39" t="n">
        <v>60.44</v>
      </c>
    </row>
    <row r="44">
      <c r="A44" s="36" t="inlineStr">
        <is>
          <t>ORD-000026</t>
        </is>
      </c>
      <c r="B44" s="36" t="inlineStr">
        <is>
          <t>CUST-00103</t>
        </is>
      </c>
      <c r="C44" s="37" t="n"/>
      <c r="D44" s="36" t="inlineStr">
        <is>
          <t>OK</t>
        </is>
      </c>
      <c r="E44" s="36" t="inlineStr">
        <is>
          <t>LY8OZCYW</t>
        </is>
      </c>
      <c r="F44" s="37" t="inlineStr">
        <is>
          <t>User-Friendly Next Generation Monitoring</t>
        </is>
      </c>
      <c r="G44" s="38" t="n">
        <v>3</v>
      </c>
      <c r="H44" s="39" t="n">
        <v>291.65</v>
      </c>
      <c r="I44" s="39" t="n">
        <v>874.95</v>
      </c>
      <c r="J44" s="40" t="n">
        <v>39.37275</v>
      </c>
      <c r="K44" s="36" t="inlineStr">
        <is>
          <t>USPS</t>
        </is>
      </c>
      <c r="L44" s="36" t="inlineStr"/>
      <c r="M44" s="36" t="inlineStr">
        <is>
          <t>2023-01-11</t>
        </is>
      </c>
      <c r="N44" s="36" t="inlineStr">
        <is>
          <t>2023-01-11</t>
        </is>
      </c>
      <c r="O44" s="36" t="inlineStr">
        <is>
          <t>Due on Receipt</t>
        </is>
      </c>
      <c r="P44" s="36" t="inlineStr">
        <is>
          <t>ORD-000026TRK</t>
        </is>
      </c>
      <c r="Q44" s="37" t="inlineStr">
        <is>
          <t>6609 Matthew Station Apt. 875</t>
        </is>
      </c>
      <c r="R44" s="37" t="inlineStr">
        <is>
          <t>Meganside</t>
        </is>
      </c>
      <c r="S44" s="36" t="inlineStr">
        <is>
          <t>24242</t>
        </is>
      </c>
      <c r="T44" s="37" t="inlineStr">
        <is>
          <t>Toys</t>
        </is>
      </c>
      <c r="U44" s="37" t="n">
        <v>1</v>
      </c>
      <c r="V44" s="39" t="n">
        <v>96.84999999999999</v>
      </c>
    </row>
    <row r="45">
      <c r="A45" s="36" t="inlineStr">
        <is>
          <t>ORD-000026</t>
        </is>
      </c>
      <c r="B45" s="36" t="inlineStr">
        <is>
          <t>CUST-00103</t>
        </is>
      </c>
      <c r="C45" s="37" t="n"/>
      <c r="D45" s="36" t="inlineStr">
        <is>
          <t>OK</t>
        </is>
      </c>
      <c r="E45" s="36" t="inlineStr">
        <is>
          <t>7SRCBPLJ</t>
        </is>
      </c>
      <c r="F45" s="37" t="inlineStr">
        <is>
          <t>Mandatory Bifurcated Frame</t>
        </is>
      </c>
      <c r="G45" s="38" t="n">
        <v>8</v>
      </c>
      <c r="H45" s="39" t="n">
        <v>63.73</v>
      </c>
      <c r="I45" s="39" t="n">
        <v>509.84</v>
      </c>
      <c r="J45" s="40" t="n">
        <v>22.9428</v>
      </c>
      <c r="K45" s="36" t="inlineStr">
        <is>
          <t>USPS</t>
        </is>
      </c>
      <c r="L45" s="36" t="inlineStr"/>
      <c r="M45" s="36" t="inlineStr">
        <is>
          <t>2023-01-11</t>
        </is>
      </c>
      <c r="N45" s="36" t="inlineStr">
        <is>
          <t>2023-01-11</t>
        </is>
      </c>
      <c r="O45" s="36" t="inlineStr">
        <is>
          <t>Due on Receipt</t>
        </is>
      </c>
      <c r="P45" s="36" t="inlineStr">
        <is>
          <t>ORD-000026TRK</t>
        </is>
      </c>
      <c r="Q45" s="37" t="inlineStr">
        <is>
          <t>6609 Matthew Station Apt. 875</t>
        </is>
      </c>
      <c r="R45" s="37" t="inlineStr">
        <is>
          <t>Meganside</t>
        </is>
      </c>
      <c r="S45" s="36" t="inlineStr">
        <is>
          <t>24242</t>
        </is>
      </c>
      <c r="T45" s="37" t="inlineStr">
        <is>
          <t>Home &amp; Garden</t>
        </is>
      </c>
      <c r="U45" s="37" t="n">
        <v>1</v>
      </c>
      <c r="V45" s="39" t="n">
        <v>96.84999999999999</v>
      </c>
    </row>
    <row r="46">
      <c r="A46" s="36" t="inlineStr">
        <is>
          <t>ORD-000026</t>
        </is>
      </c>
      <c r="B46" s="36" t="inlineStr">
        <is>
          <t>CUST-00103</t>
        </is>
      </c>
      <c r="C46" s="37" t="n"/>
      <c r="D46" s="36" t="inlineStr">
        <is>
          <t>OK</t>
        </is>
      </c>
      <c r="E46" s="36" t="inlineStr">
        <is>
          <t>AZYTJXEP</t>
        </is>
      </c>
      <c r="F46" s="37" t="inlineStr">
        <is>
          <t>Realigned Dedicated Structure</t>
        </is>
      </c>
      <c r="G46" s="38" t="n">
        <v>7</v>
      </c>
      <c r="H46" s="39" t="n">
        <v>300.4</v>
      </c>
      <c r="I46" s="39" t="n">
        <v>2102.8</v>
      </c>
      <c r="J46" s="40" t="n">
        <v>94.62599999999999</v>
      </c>
      <c r="K46" s="36" t="inlineStr">
        <is>
          <t>USPS</t>
        </is>
      </c>
      <c r="L46" s="36" t="inlineStr"/>
      <c r="M46" s="36" t="inlineStr">
        <is>
          <t>2023-01-11</t>
        </is>
      </c>
      <c r="N46" s="36" t="inlineStr">
        <is>
          <t>2023-01-11</t>
        </is>
      </c>
      <c r="O46" s="36" t="inlineStr">
        <is>
          <t>Due on Receipt</t>
        </is>
      </c>
      <c r="P46" s="36" t="inlineStr">
        <is>
          <t>ORD-000026TRK</t>
        </is>
      </c>
      <c r="Q46" s="37" t="inlineStr">
        <is>
          <t>6609 Matthew Station Apt. 875</t>
        </is>
      </c>
      <c r="R46" s="37" t="inlineStr">
        <is>
          <t>Meganside</t>
        </is>
      </c>
      <c r="S46" s="36" t="inlineStr">
        <is>
          <t>24242</t>
        </is>
      </c>
      <c r="T46" s="37" t="inlineStr">
        <is>
          <t>Beauty</t>
        </is>
      </c>
      <c r="U46" s="37" t="n">
        <v>1</v>
      </c>
      <c r="V46" s="39" t="n">
        <v>96.84999999999999</v>
      </c>
    </row>
    <row r="47">
      <c r="A47" s="36" t="inlineStr">
        <is>
          <t>ORD-000026</t>
        </is>
      </c>
      <c r="B47" s="36" t="inlineStr">
        <is>
          <t>CUST-00103</t>
        </is>
      </c>
      <c r="C47" s="37" t="n"/>
      <c r="D47" s="36" t="inlineStr">
        <is>
          <t>OK</t>
        </is>
      </c>
      <c r="E47" s="36" t="inlineStr">
        <is>
          <t>7R3OCWBF</t>
        </is>
      </c>
      <c r="F47" s="37" t="inlineStr">
        <is>
          <t>Right-Sized Maximized Moderator</t>
        </is>
      </c>
      <c r="G47" s="38" t="n">
        <v>9</v>
      </c>
      <c r="H47" s="39" t="n">
        <v>143.03</v>
      </c>
      <c r="I47" s="39" t="n">
        <v>1287.27</v>
      </c>
      <c r="J47" s="40" t="n">
        <v>57.92715</v>
      </c>
      <c r="K47" s="36" t="inlineStr">
        <is>
          <t>USPS</t>
        </is>
      </c>
      <c r="L47" s="36" t="inlineStr"/>
      <c r="M47" s="36" t="inlineStr">
        <is>
          <t>2023-01-11</t>
        </is>
      </c>
      <c r="N47" s="36" t="inlineStr">
        <is>
          <t>2023-01-11</t>
        </is>
      </c>
      <c r="O47" s="36" t="inlineStr">
        <is>
          <t>Due on Receipt</t>
        </is>
      </c>
      <c r="P47" s="36" t="inlineStr">
        <is>
          <t>ORD-000026TRK</t>
        </is>
      </c>
      <c r="Q47" s="37" t="inlineStr">
        <is>
          <t>6609 Matthew Station Apt. 875</t>
        </is>
      </c>
      <c r="R47" s="37" t="inlineStr">
        <is>
          <t>Meganside</t>
        </is>
      </c>
      <c r="S47" s="36" t="inlineStr">
        <is>
          <t>24242</t>
        </is>
      </c>
      <c r="T47" s="37" t="inlineStr">
        <is>
          <t>Clothing</t>
        </is>
      </c>
      <c r="U47" s="37" t="n">
        <v>1</v>
      </c>
      <c r="V47" s="39" t="n">
        <v>96.84999999999999</v>
      </c>
    </row>
    <row r="48">
      <c r="A48" s="36" t="inlineStr">
        <is>
          <t>ORD-000027</t>
        </is>
      </c>
      <c r="B48" s="36" t="inlineStr">
        <is>
          <t>CUST-00151</t>
        </is>
      </c>
      <c r="C48" s="37" t="n"/>
      <c r="D48" s="36" t="inlineStr">
        <is>
          <t>IA</t>
        </is>
      </c>
      <c r="E48" s="36" t="inlineStr">
        <is>
          <t>J4HNRIUU</t>
        </is>
      </c>
      <c r="F48" s="37" t="inlineStr">
        <is>
          <t>Cloned Well-Modulated Monitoring</t>
        </is>
      </c>
      <c r="G48" s="38" t="n">
        <v>5</v>
      </c>
      <c r="H48" s="39" t="n">
        <v>251.02</v>
      </c>
      <c r="I48" s="39" t="n">
        <v>1255.1</v>
      </c>
      <c r="J48" s="40" t="n">
        <v>75.30600000000001</v>
      </c>
      <c r="K48" s="36" t="inlineStr">
        <is>
          <t>Amazon Logistics</t>
        </is>
      </c>
      <c r="L48" s="36" t="inlineStr"/>
      <c r="M48" s="36" t="inlineStr">
        <is>
          <t>2023-01-11</t>
        </is>
      </c>
      <c r="N48" s="36" t="inlineStr">
        <is>
          <t>2023-01-11</t>
        </is>
      </c>
      <c r="O48" s="36" t="inlineStr">
        <is>
          <t>Due on Receipt</t>
        </is>
      </c>
      <c r="P48" s="36" t="inlineStr">
        <is>
          <t>ORD-000027TRK</t>
        </is>
      </c>
      <c r="Q48" s="37" t="inlineStr">
        <is>
          <t>270 James Landing Apt. 110</t>
        </is>
      </c>
      <c r="R48" s="37" t="inlineStr">
        <is>
          <t>New Sara</t>
        </is>
      </c>
      <c r="S48" s="36" t="inlineStr">
        <is>
          <t>38208</t>
        </is>
      </c>
      <c r="T48" s="37" t="inlineStr">
        <is>
          <t>Home &amp; Garden</t>
        </is>
      </c>
      <c r="U48" s="37" t="n">
        <v>1</v>
      </c>
      <c r="V48" s="39" t="n">
        <v>17.84</v>
      </c>
    </row>
    <row r="49">
      <c r="A49" s="36" t="inlineStr">
        <is>
          <t>ORD-000028</t>
        </is>
      </c>
      <c r="B49" s="36" t="inlineStr">
        <is>
          <t>CUST-00217</t>
        </is>
      </c>
      <c r="C49" s="37" t="n"/>
      <c r="D49" s="36" t="inlineStr">
        <is>
          <t>NC</t>
        </is>
      </c>
      <c r="E49" s="36" t="inlineStr">
        <is>
          <t>BNHL1N13</t>
        </is>
      </c>
      <c r="F49" s="37" t="inlineStr">
        <is>
          <t>Streamlined Modular Infrastructure</t>
        </is>
      </c>
      <c r="G49" s="38" t="n">
        <v>5</v>
      </c>
      <c r="H49" s="39" t="n">
        <v>199.75</v>
      </c>
      <c r="I49" s="39" t="n">
        <v>998.75</v>
      </c>
      <c r="J49" s="40" t="n">
        <v>47.440625</v>
      </c>
      <c r="K49" s="36" t="inlineStr">
        <is>
          <t>USPS</t>
        </is>
      </c>
      <c r="L49" s="36" t="inlineStr"/>
      <c r="M49" s="36" t="inlineStr">
        <is>
          <t>2023-01-11</t>
        </is>
      </c>
      <c r="N49" s="36" t="inlineStr">
        <is>
          <t>2023-01-11</t>
        </is>
      </c>
      <c r="O49" s="36" t="inlineStr">
        <is>
          <t>Due on Receipt</t>
        </is>
      </c>
      <c r="P49" s="36" t="inlineStr">
        <is>
          <t>ORD-000028TRK</t>
        </is>
      </c>
      <c r="Q49" s="37" t="inlineStr">
        <is>
          <t>27770 Richards Flats</t>
        </is>
      </c>
      <c r="R49" s="37" t="inlineStr">
        <is>
          <t>Ashleyfurt</t>
        </is>
      </c>
      <c r="S49" s="36" t="inlineStr">
        <is>
          <t>07175</t>
        </is>
      </c>
      <c r="T49" s="37" t="inlineStr">
        <is>
          <t>Electronics</t>
        </is>
      </c>
      <c r="U49" s="37" t="n">
        <v>1</v>
      </c>
      <c r="V49" s="39" t="n">
        <v>34.9</v>
      </c>
    </row>
    <row r="50">
      <c r="A50" s="36" t="inlineStr">
        <is>
          <t>ORD-000028</t>
        </is>
      </c>
      <c r="B50" s="36" t="inlineStr">
        <is>
          <t>CUST-00217</t>
        </is>
      </c>
      <c r="C50" s="37" t="n"/>
      <c r="D50" s="36" t="inlineStr">
        <is>
          <t>NC</t>
        </is>
      </c>
      <c r="E50" s="36" t="inlineStr">
        <is>
          <t>HV3A3ZMF</t>
        </is>
      </c>
      <c r="F50" s="37" t="inlineStr">
        <is>
          <t>User-Centric Even-Keeled Encryption</t>
        </is>
      </c>
      <c r="G50" s="38" t="n">
        <v>3</v>
      </c>
      <c r="H50" s="39" t="n">
        <v>92.63</v>
      </c>
      <c r="I50" s="39" t="n">
        <v>277.89</v>
      </c>
      <c r="J50" s="40" t="n">
        <v>13.199775</v>
      </c>
      <c r="K50" s="36" t="inlineStr">
        <is>
          <t>USPS</t>
        </is>
      </c>
      <c r="L50" s="36" t="inlineStr"/>
      <c r="M50" s="36" t="inlineStr">
        <is>
          <t>2023-01-11</t>
        </is>
      </c>
      <c r="N50" s="36" t="inlineStr">
        <is>
          <t>2023-01-11</t>
        </is>
      </c>
      <c r="O50" s="36" t="inlineStr">
        <is>
          <t>Due on Receipt</t>
        </is>
      </c>
      <c r="P50" s="36" t="inlineStr">
        <is>
          <t>ORD-000028TRK</t>
        </is>
      </c>
      <c r="Q50" s="37" t="inlineStr">
        <is>
          <t>27770 Richards Flats</t>
        </is>
      </c>
      <c r="R50" s="37" t="inlineStr">
        <is>
          <t>Ashleyfurt</t>
        </is>
      </c>
      <c r="S50" s="36" t="inlineStr">
        <is>
          <t>07175</t>
        </is>
      </c>
      <c r="T50" s="37" t="inlineStr">
        <is>
          <t>Electronics</t>
        </is>
      </c>
      <c r="U50" s="37" t="n">
        <v>1</v>
      </c>
      <c r="V50" s="39" t="n">
        <v>34.9</v>
      </c>
    </row>
    <row r="51">
      <c r="A51" s="36" t="inlineStr">
        <is>
          <t>ORD-000029</t>
        </is>
      </c>
      <c r="B51" s="36" t="inlineStr">
        <is>
          <t>CUST-00127</t>
        </is>
      </c>
      <c r="C51" s="37" t="n"/>
      <c r="D51" s="36" t="inlineStr">
        <is>
          <t>WY</t>
        </is>
      </c>
      <c r="E51" s="36" t="inlineStr">
        <is>
          <t>8UT0CVS4</t>
        </is>
      </c>
      <c r="F51" s="37" t="inlineStr">
        <is>
          <t>Robust Empowering Workforce</t>
        </is>
      </c>
      <c r="G51" s="38" t="n">
        <v>1</v>
      </c>
      <c r="H51" s="39" t="n">
        <v>224.66</v>
      </c>
      <c r="I51" s="39" t="n">
        <v>224.66</v>
      </c>
      <c r="J51" s="40" t="n">
        <v>8.9864</v>
      </c>
      <c r="K51" s="36" t="inlineStr">
        <is>
          <t>UPS</t>
        </is>
      </c>
      <c r="L51" s="36" t="inlineStr"/>
      <c r="M51" s="36" t="inlineStr">
        <is>
          <t>2023-01-11</t>
        </is>
      </c>
      <c r="N51" s="36" t="inlineStr">
        <is>
          <t>2023-01-11</t>
        </is>
      </c>
      <c r="O51" s="36" t="inlineStr">
        <is>
          <t>Due on Receipt</t>
        </is>
      </c>
      <c r="P51" s="36" t="inlineStr">
        <is>
          <t>ORD-000029TRK</t>
        </is>
      </c>
      <c r="Q51" s="37" t="inlineStr">
        <is>
          <t>79908 Christopher Shoals</t>
        </is>
      </c>
      <c r="R51" s="37" t="inlineStr">
        <is>
          <t>New Amber</t>
        </is>
      </c>
      <c r="S51" s="36" t="inlineStr">
        <is>
          <t>00658</t>
        </is>
      </c>
      <c r="T51" s="37" t="inlineStr">
        <is>
          <t>Sports</t>
        </is>
      </c>
      <c r="U51" s="37" t="n">
        <v>1</v>
      </c>
      <c r="V51" s="39" t="n">
        <v>10.8</v>
      </c>
    </row>
    <row r="52">
      <c r="A52" s="36" t="inlineStr">
        <is>
          <t>ORD-000030</t>
        </is>
      </c>
      <c r="B52" s="36" t="inlineStr">
        <is>
          <t>CUST-00327</t>
        </is>
      </c>
      <c r="C52" s="37" t="n"/>
      <c r="D52" s="36" t="inlineStr">
        <is>
          <t>CA</t>
        </is>
      </c>
      <c r="E52" s="36" t="inlineStr">
        <is>
          <t>8UT0CVS4</t>
        </is>
      </c>
      <c r="F52" s="37" t="inlineStr">
        <is>
          <t>Robust Empowering Workforce</t>
        </is>
      </c>
      <c r="G52" s="38" t="n">
        <v>7</v>
      </c>
      <c r="H52" s="39" t="n">
        <v>224.66</v>
      </c>
      <c r="I52" s="39" t="n">
        <v>1572.62</v>
      </c>
      <c r="J52" s="40" t="n">
        <v>114.01495</v>
      </c>
      <c r="K52" s="36" t="inlineStr">
        <is>
          <t>Amazon Logistics</t>
        </is>
      </c>
      <c r="L52" s="36" t="inlineStr"/>
      <c r="M52" s="36" t="inlineStr">
        <is>
          <t>2023-01-11</t>
        </is>
      </c>
      <c r="N52" s="36" t="inlineStr">
        <is>
          <t>2023-01-11</t>
        </is>
      </c>
      <c r="O52" s="36" t="inlineStr">
        <is>
          <t>Due on Receipt</t>
        </is>
      </c>
      <c r="P52" s="36" t="inlineStr">
        <is>
          <t>ORD-000030TRK</t>
        </is>
      </c>
      <c r="Q52" s="37" t="inlineStr">
        <is>
          <t>9741 Rhonda Ville Apt. 483</t>
        </is>
      </c>
      <c r="R52" s="37" t="inlineStr">
        <is>
          <t>West Jennyberg</t>
        </is>
      </c>
      <c r="S52" s="36" t="inlineStr">
        <is>
          <t>05202</t>
        </is>
      </c>
      <c r="T52" s="37" t="inlineStr">
        <is>
          <t>Sports</t>
        </is>
      </c>
      <c r="U52" s="37" t="n">
        <v>1</v>
      </c>
      <c r="V52" s="39" t="n">
        <v>17.61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0" customWidth="1" min="3" max="3"/>
    <col width="60" customWidth="1" min="4" max="4"/>
  </cols>
  <sheetData>
    <row r="1">
      <c r="A1" s="35" t="inlineStr">
        <is>
          <t>Invoice #</t>
        </is>
      </c>
      <c r="B1" s="35" t="inlineStr">
        <is>
          <t>Company Name</t>
        </is>
      </c>
      <c r="C1" s="35" t="inlineStr">
        <is>
          <t>Timestamp</t>
        </is>
      </c>
      <c r="D1" s="35" t="inlineStr">
        <is>
          <t>PDF Path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2026-06-18T22:10:56Z</dcterms:created>
  <dcterms:modified xsi:type="dcterms:W3CDTF">2026-06-18T22:10:56Z</dcterms:modified>
</cp:coreProperties>
</file>