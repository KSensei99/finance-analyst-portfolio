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sh\Downloads\Upwork\finance-analyst-portfolio\05_pl_automation\"/>
    </mc:Choice>
  </mc:AlternateContent>
  <xr:revisionPtr revIDLastSave="0" documentId="13_ncr:1_{51087189-E95E-4000-A5DF-71EA6777B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_Report" sheetId="1" r:id="rId1"/>
    <sheet name="Actuals" sheetId="2" r:id="rId2"/>
    <sheet name="Budget" sheetId="3" r:id="rId3"/>
    <sheet name="Set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3" i="1"/>
  <c r="C29" i="1" l="1"/>
  <c r="B29" i="1"/>
  <c r="B28" i="1"/>
  <c r="C27" i="1"/>
  <c r="D27" i="1" s="1"/>
  <c r="E27" i="1" s="1"/>
  <c r="B24" i="1"/>
  <c r="C28" i="1"/>
  <c r="D28" i="1" s="1"/>
  <c r="E28" i="1" s="1"/>
  <c r="B9" i="1"/>
  <c r="B27" i="1"/>
  <c r="C26" i="1"/>
  <c r="D26" i="1" s="1"/>
  <c r="E26" i="1" s="1"/>
  <c r="B26" i="1"/>
  <c r="C25" i="1"/>
  <c r="B25" i="1"/>
  <c r="C24" i="1"/>
  <c r="C16" i="1"/>
  <c r="D16" i="1" s="1"/>
  <c r="E16" i="1" s="1"/>
  <c r="B16" i="1"/>
  <c r="C15" i="1"/>
  <c r="D15" i="1" s="1"/>
  <c r="E15" i="1" s="1"/>
  <c r="B15" i="1"/>
  <c r="B14" i="1"/>
  <c r="B17" i="1" s="1"/>
  <c r="C23" i="1"/>
  <c r="B23" i="1"/>
  <c r="C22" i="1"/>
  <c r="B22" i="1"/>
  <c r="C10" i="1"/>
  <c r="B10" i="1"/>
  <c r="D10" i="1" s="1"/>
  <c r="E10" i="1" s="1"/>
  <c r="C9" i="1"/>
  <c r="C14" i="1"/>
  <c r="C8" i="1"/>
  <c r="B8" i="1"/>
  <c r="D29" i="1" l="1"/>
  <c r="E29" i="1" s="1"/>
  <c r="C11" i="1"/>
  <c r="D22" i="1"/>
  <c r="E22" i="1" s="1"/>
  <c r="C30" i="1"/>
  <c r="D30" i="1" s="1"/>
  <c r="E30" i="1" s="1"/>
  <c r="C17" i="1"/>
  <c r="D14" i="1"/>
  <c r="E14" i="1" s="1"/>
  <c r="D8" i="1"/>
  <c r="E8" i="1" s="1"/>
  <c r="B11" i="1"/>
  <c r="D9" i="1"/>
  <c r="E9" i="1" s="1"/>
  <c r="D25" i="1"/>
  <c r="E25" i="1" s="1"/>
  <c r="D24" i="1"/>
  <c r="E24" i="1" s="1"/>
  <c r="D23" i="1"/>
  <c r="E23" i="1" s="1"/>
  <c r="B30" i="1"/>
  <c r="C19" i="1" l="1"/>
  <c r="C32" i="1" s="1"/>
  <c r="D17" i="1"/>
  <c r="E17" i="1" s="1"/>
  <c r="B19" i="1"/>
  <c r="D11" i="1"/>
  <c r="E11" i="1" s="1"/>
  <c r="D19" i="1" l="1"/>
  <c r="E19" i="1" s="1"/>
  <c r="B32" i="1"/>
  <c r="D32" i="1" s="1"/>
  <c r="E32" i="1" s="1"/>
</calcChain>
</file>

<file path=xl/sharedStrings.xml><?xml version="1.0" encoding="utf-8"?>
<sst xmlns="http://schemas.openxmlformats.org/spreadsheetml/2006/main" count="11588" uniqueCount="85">
  <si>
    <t>NEXORIA COMMERCE INC.</t>
  </si>
  <si>
    <t>Monthly Profit &amp; Loss Statement (Actual vs. Budget)</t>
  </si>
  <si>
    <t>Select Period (YYYY-MM):</t>
  </si>
  <si>
    <t>2024-12</t>
  </si>
  <si>
    <t>Line Item</t>
  </si>
  <si>
    <t>Actual ($)</t>
  </si>
  <si>
    <t>Budget ($)</t>
  </si>
  <si>
    <t>Variance ($)</t>
  </si>
  <si>
    <t>Variance (%)</t>
  </si>
  <si>
    <t>REVENUE</t>
  </si>
  <si>
    <t xml:space="preserve">  Product Sales</t>
  </si>
  <si>
    <t xml:space="preserve">  Service Revenue</t>
  </si>
  <si>
    <t xml:space="preserve">  Shipping Revenue</t>
  </si>
  <si>
    <t>Total Revenue</t>
  </si>
  <si>
    <t>COST OF GOODS SOLD</t>
  </si>
  <si>
    <t xml:space="preserve">  Product Cost</t>
  </si>
  <si>
    <t xml:space="preserve">  Freight In</t>
  </si>
  <si>
    <t xml:space="preserve">  Packaging</t>
  </si>
  <si>
    <t>Total Cost of Goods Sold</t>
  </si>
  <si>
    <t>GROSS PROFIT</t>
  </si>
  <si>
    <t>OPERATING EXPENSES</t>
  </si>
  <si>
    <t xml:space="preserve">  Salaries</t>
  </si>
  <si>
    <t xml:space="preserve">  Marketing Spend</t>
  </si>
  <si>
    <t xml:space="preserve">  Software &amp; SaaS</t>
  </si>
  <si>
    <t xml:space="preserve">  Office Rent</t>
  </si>
  <si>
    <t xml:space="preserve">  Travel &amp; Entertainment</t>
  </si>
  <si>
    <t xml:space="preserve">  Professional Services</t>
  </si>
  <si>
    <t xml:space="preserve">  Utilities</t>
  </si>
  <si>
    <t xml:space="preserve">  Depreciation</t>
  </si>
  <si>
    <t>Total Operating Expenses</t>
  </si>
  <si>
    <t>NET OPERATING INCOME (EBIT)</t>
  </si>
  <si>
    <t>year</t>
  </si>
  <si>
    <t>month</t>
  </si>
  <si>
    <t>department</t>
  </si>
  <si>
    <t>gl_category</t>
  </si>
  <si>
    <t>gl_account</t>
  </si>
  <si>
    <t>amount</t>
  </si>
  <si>
    <t>Sales</t>
  </si>
  <si>
    <t>COGS</t>
  </si>
  <si>
    <t>Freight In</t>
  </si>
  <si>
    <t>Marketing</t>
  </si>
  <si>
    <t>Operations</t>
  </si>
  <si>
    <t>Finance</t>
  </si>
  <si>
    <t>HR</t>
  </si>
  <si>
    <t>IT</t>
  </si>
  <si>
    <t>Customer Service</t>
  </si>
  <si>
    <t>Packaging</t>
  </si>
  <si>
    <t>Product Cost</t>
  </si>
  <si>
    <t>OpEx</t>
  </si>
  <si>
    <t>Depreciation</t>
  </si>
  <si>
    <t>Marketing Spend</t>
  </si>
  <si>
    <t>Office Rent</t>
  </si>
  <si>
    <t>Professional Services</t>
  </si>
  <si>
    <t>Salaries</t>
  </si>
  <si>
    <t>Software &amp; SaaS</t>
  </si>
  <si>
    <t>Travel &amp; Entertainment</t>
  </si>
  <si>
    <t>Utilities</t>
  </si>
  <si>
    <t>Revenue</t>
  </si>
  <si>
    <t>Product Sales</t>
  </si>
  <si>
    <t>Service Revenue</t>
  </si>
  <si>
    <t>Shipping Revenue</t>
  </si>
  <si>
    <t>Period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</si>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</sst>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-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b/>
      <sz val="10"/>
      <color rgb="FF2D3748"/>
      <name val="Calibri"/>
    </font>
    <font>
      <b/>
      <sz val="10"/>
      <color rgb="FF0000FF"/>
      <name val="Calibri"/>
    </font>
    <font>
      <sz val="11"/>
      <color rgb="FFFFFFFF"/>
      <name val="Calibri"/>
    </font>
    <font>
      <b/>
      <sz val="10"/>
      <color rgb="FFFFFFFF"/>
      <name val="Calibri"/>
    </font>
    <font>
      <b/>
      <sz val="11"/>
      <color rgb="FF2D3748"/>
      <name val="Calibri"/>
    </font>
    <font>
      <sz val="10"/>
      <color rgb="FF2D3748"/>
      <name val="Calibri"/>
    </font>
    <font>
      <sz val="10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7F5F0"/>
      </patternFill>
    </fill>
    <fill>
      <patternFill patternType="solid">
        <fgColor rgb="FFEDF2F7"/>
      </patternFill>
    </fill>
  </fills>
  <borders count="5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  <border>
      <left/>
      <right/>
      <top style="thin">
        <color rgb="FFD2D6DC"/>
      </top>
      <bottom style="thin">
        <color rgb="FFD2D6DC"/>
      </bottom>
      <diagonal/>
    </border>
    <border>
      <left/>
      <right/>
      <top style="thin">
        <color rgb="FF1B3A6B"/>
      </top>
      <bottom style="double">
        <color rgb="FF1B3A6B"/>
      </bottom>
      <diagonal/>
    </border>
    <border>
      <left/>
      <right/>
      <top/>
      <bottom style="medium">
        <color rgb="FFC5A8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0" fillId="4" borderId="2" xfId="0" applyFill="1" applyBorder="1"/>
    <xf numFmtId="0" fontId="8" fillId="0" borderId="0" xfId="0" applyFont="1" applyAlignment="1">
      <alignment horizontal="left" vertical="center" indent="1"/>
    </xf>
    <xf numFmtId="164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3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0" fontId="3" fillId="3" borderId="4" xfId="0" applyFont="1" applyFill="1" applyBorder="1" applyAlignment="1">
      <alignment horizontal="left" vertical="center"/>
    </xf>
    <xf numFmtId="164" fontId="3" fillId="3" borderId="4" xfId="0" applyNumberFormat="1" applyFont="1" applyFill="1" applyBorder="1" applyAlignment="1">
      <alignment horizontal="right" vertical="center"/>
    </xf>
    <xf numFmtId="165" fontId="3" fillId="3" borderId="4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164" fontId="10" fillId="2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sz val="10"/>
        <color rgb="FFC5221F"/>
        <name val="Calibri"/>
      </font>
      <fill>
        <patternFill patternType="solid">
          <fgColor rgb="FFFCE8E6"/>
          <bgColor rgb="FFFCE8E6"/>
        </patternFill>
      </fill>
    </dxf>
    <dxf>
      <font>
        <b/>
        <sz val="10"/>
        <color rgb="FF137333"/>
        <name val="Calibri"/>
      </font>
      <fill>
        <patternFill patternType="solid">
          <fgColor rgb="FFE6F4EA"/>
          <bgColor rgb="FFE6F4EA"/>
        </patternFill>
      </fill>
    </dxf>
    <dxf>
      <font>
        <b/>
        <sz val="10"/>
        <color rgb="FFC5221F"/>
        <name val="Calibri"/>
      </font>
      <fill>
        <patternFill patternType="solid">
          <fgColor rgb="FFFCE8E6"/>
          <bgColor rgb="FFFCE8E6"/>
        </patternFill>
      </fill>
    </dxf>
    <dxf>
      <font>
        <b/>
        <sz val="10"/>
        <color rgb="FF137333"/>
        <name val="Calibri"/>
      </font>
      <fill>
        <patternFill patternType="solid">
          <fgColor rgb="FFE6F4EA"/>
          <bgColor rgb="FFE6F4EA"/>
        </patternFill>
      </fill>
    </dxf>
    <dxf>
      <font>
        <b/>
        <sz val="10"/>
        <color rgb="FFC5221F"/>
        <name val="Calibri"/>
      </font>
      <fill>
        <patternFill patternType="solid">
          <fgColor rgb="FFFCE8E6"/>
          <bgColor rgb="FFFCE8E6"/>
        </patternFill>
      </fill>
    </dxf>
    <dxf>
      <font>
        <b/>
        <sz val="10"/>
        <color rgb="FF137333"/>
        <name val="Calibri"/>
      </font>
      <fill>
        <patternFill patternType="solid">
          <fgColor rgb="FFE6F4EA"/>
          <bgColor rgb="FFE6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sqref="A1:E1"/>
    </sheetView>
  </sheetViews>
  <sheetFormatPr defaultRowHeight="14.4" x14ac:dyDescent="0.3"/>
  <cols>
    <col min="1" max="1" width="28.109375" bestFit="1" customWidth="1"/>
    <col min="2" max="3" width="11.44140625" bestFit="1" customWidth="1"/>
    <col min="4" max="4" width="10.33203125" bestFit="1" customWidth="1"/>
    <col min="5" max="5" width="10.6640625" bestFit="1" customWidth="1"/>
  </cols>
  <sheetData>
    <row r="1" spans="1:5" ht="28.05" customHeight="1" x14ac:dyDescent="0.3">
      <c r="A1" s="22" t="s">
        <v>0</v>
      </c>
      <c r="B1" s="21"/>
      <c r="C1" s="21"/>
      <c r="D1" s="21"/>
      <c r="E1" s="21"/>
    </row>
    <row r="2" spans="1:5" ht="19.95" customHeight="1" x14ac:dyDescent="0.3">
      <c r="A2" s="20" t="s">
        <v>1</v>
      </c>
      <c r="B2" s="21"/>
      <c r="C2" s="21"/>
      <c r="D2" s="21"/>
      <c r="E2" s="21"/>
    </row>
    <row r="3" spans="1:5" x14ac:dyDescent="0.3">
      <c r="A3" s="1" t="s">
        <v>2</v>
      </c>
      <c r="B3" s="2" t="s">
        <v>3</v>
      </c>
      <c r="D3" s="3">
        <f>VALUE(LEFT(B3,4))</f>
        <v>2024</v>
      </c>
      <c r="E3" s="3">
        <f>VALUE(RIGHT(B3,2))</f>
        <v>12</v>
      </c>
    </row>
    <row r="5" spans="1:5" ht="22.05" customHeight="1" x14ac:dyDescent="0.3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7" spans="1:5" ht="19.95" customHeight="1" x14ac:dyDescent="0.3">
      <c r="A7" s="6" t="s">
        <v>9</v>
      </c>
      <c r="B7" s="7"/>
      <c r="C7" s="7"/>
      <c r="D7" s="7"/>
      <c r="E7" s="7"/>
    </row>
    <row r="8" spans="1:5" ht="19.95" customHeight="1" x14ac:dyDescent="0.3">
      <c r="A8" s="8" t="s">
        <v>10</v>
      </c>
      <c r="B8" s="9">
        <f>SUMIFS(Actuals!F:F, Actuals!A:A, $D$3, Actuals!B:B, $E$3, Actuals!E:E, "Product Sales")</f>
        <v>193607.69</v>
      </c>
      <c r="C8" s="9">
        <f>SUMIFS(Budget!F:F, Budget!A:A, $D$3, Budget!B:B, $E$3, Budget!E:E, "Product Sales")</f>
        <v>169431.07</v>
      </c>
      <c r="D8" s="9">
        <f>B8-C8</f>
        <v>24176.619999999995</v>
      </c>
      <c r="E8" s="10">
        <f>IFERROR(D8/C8, 0)</f>
        <v>0.14269295472194088</v>
      </c>
    </row>
    <row r="9" spans="1:5" ht="19.95" customHeight="1" x14ac:dyDescent="0.3">
      <c r="A9" s="8" t="s">
        <v>11</v>
      </c>
      <c r="B9" s="9">
        <f>SUMIFS(Actuals!F:F, Actuals!A:A, $D$3, Actuals!B:B, $E$3, Actuals!E:E, "Service Revenue")</f>
        <v>58506.44</v>
      </c>
      <c r="C9" s="9">
        <f>SUMIFS(Budget!F:F, Budget!A:A, $D$3, Budget!B:B, $E$3, Budget!E:E, "Service Revenue")</f>
        <v>47096.01</v>
      </c>
      <c r="D9" s="9">
        <f>B9-C9</f>
        <v>11410.43</v>
      </c>
      <c r="E9" s="10">
        <f>IFERROR(D9/C9, 0)</f>
        <v>0.2422801846695718</v>
      </c>
    </row>
    <row r="10" spans="1:5" ht="19.95" customHeight="1" x14ac:dyDescent="0.3">
      <c r="A10" s="8" t="s">
        <v>12</v>
      </c>
      <c r="B10" s="9">
        <f>SUMIFS(Actuals!F:F, Actuals!A:A, $D$3, Actuals!B:B, $E$3, Actuals!E:E, "Shipping Revenue")</f>
        <v>52776.6</v>
      </c>
      <c r="C10" s="9">
        <f>SUMIFS(Budget!F:F, Budget!A:A, $D$3, Budget!B:B, $E$3, Budget!E:E, "Shipping Revenue")</f>
        <v>43339.08</v>
      </c>
      <c r="D10" s="9">
        <f>B10-C10</f>
        <v>9437.5199999999968</v>
      </c>
      <c r="E10" s="10">
        <f>IFERROR(D10/C10, 0)</f>
        <v>0.21776004474483529</v>
      </c>
    </row>
    <row r="11" spans="1:5" ht="19.95" customHeight="1" x14ac:dyDescent="0.3">
      <c r="A11" s="11" t="s">
        <v>13</v>
      </c>
      <c r="B11" s="12">
        <f>SUM(B8:B10)</f>
        <v>304890.73</v>
      </c>
      <c r="C11" s="12">
        <f>SUM(C8:C10)</f>
        <v>259866.16000000003</v>
      </c>
      <c r="D11" s="12">
        <f>B11-C11</f>
        <v>45024.569999999949</v>
      </c>
      <c r="E11" s="13">
        <f>IFERROR(D11/C11, 0)</f>
        <v>0.1732606123090438</v>
      </c>
    </row>
    <row r="13" spans="1:5" ht="19.95" customHeight="1" x14ac:dyDescent="0.3">
      <c r="A13" s="6" t="s">
        <v>14</v>
      </c>
      <c r="B13" s="7"/>
      <c r="C13" s="7"/>
      <c r="D13" s="7"/>
      <c r="E13" s="7"/>
    </row>
    <row r="14" spans="1:5" ht="19.95" customHeight="1" x14ac:dyDescent="0.3">
      <c r="A14" s="8" t="s">
        <v>15</v>
      </c>
      <c r="B14" s="9">
        <f>SUMIFS(Actuals!F:F, Actuals!A:A, $D$3, Actuals!B:B, $E$3, Actuals!E:E, "Product Cost")</f>
        <v>415697.57</v>
      </c>
      <c r="C14" s="9">
        <f>SUMIFS(Budget!F:F, Budget!A:A, $D$3, Budget!B:B, $E$3, Budget!E:E, "Product Cost")</f>
        <v>440464.55</v>
      </c>
      <c r="D14" s="9">
        <f>C14-B14</f>
        <v>24766.979999999981</v>
      </c>
      <c r="E14" s="10">
        <f>IFERROR(D14/C14, 0)</f>
        <v>5.6229224349609933E-2</v>
      </c>
    </row>
    <row r="15" spans="1:5" ht="19.95" customHeight="1" x14ac:dyDescent="0.3">
      <c r="A15" s="8" t="s">
        <v>16</v>
      </c>
      <c r="B15" s="9">
        <f>SUMIFS(Actuals!F:F, Actuals!A:A, $D$3, Actuals!B:B, $E$3, Actuals!E:E, "Freight In")</f>
        <v>519447.97000000003</v>
      </c>
      <c r="C15" s="9">
        <f>SUMIFS(Budget!F:F, Budget!A:A, $D$3, Budget!B:B, $E$3, Budget!E:E, "Freight In")</f>
        <v>477122.19</v>
      </c>
      <c r="D15" s="9">
        <f>C15-B15</f>
        <v>-42325.780000000028</v>
      </c>
      <c r="E15" s="10">
        <f>IFERROR(D15/C15, 0)</f>
        <v>-8.8710566993331477E-2</v>
      </c>
    </row>
    <row r="16" spans="1:5" ht="19.95" customHeight="1" x14ac:dyDescent="0.3">
      <c r="A16" s="8" t="s">
        <v>17</v>
      </c>
      <c r="B16" s="9">
        <f>SUMIFS(Actuals!F:F, Actuals!A:A, $D$3, Actuals!B:B, $E$3, Actuals!E:E, "Packaging")</f>
        <v>473558.78</v>
      </c>
      <c r="C16" s="9">
        <f>SUMIFS(Budget!F:F, Budget!A:A, $D$3, Budget!B:B, $E$3, Budget!E:E, "Packaging")</f>
        <v>472619.00999999995</v>
      </c>
      <c r="D16" s="9">
        <f>C16-B16</f>
        <v>-939.77000000007683</v>
      </c>
      <c r="E16" s="10">
        <f>IFERROR(D16/C16, 0)</f>
        <v>-1.9884303849734631E-3</v>
      </c>
    </row>
    <row r="17" spans="1:5" ht="19.95" customHeight="1" x14ac:dyDescent="0.3">
      <c r="A17" s="11" t="s">
        <v>18</v>
      </c>
      <c r="B17" s="12">
        <f>SUM(B14:B16)</f>
        <v>1408704.32</v>
      </c>
      <c r="C17" s="12">
        <f>SUM(C14:C16)</f>
        <v>1390205.75</v>
      </c>
      <c r="D17" s="12">
        <f>C17-B17</f>
        <v>-18498.570000000065</v>
      </c>
      <c r="E17" s="13">
        <f>IFERROR(D17/C17, 0)</f>
        <v>-1.3306354113410957E-2</v>
      </c>
    </row>
    <row r="19" spans="1:5" ht="19.95" customHeight="1" x14ac:dyDescent="0.3">
      <c r="A19" s="14" t="s">
        <v>19</v>
      </c>
      <c r="B19" s="15">
        <f>B11-B17</f>
        <v>-1103813.5900000001</v>
      </c>
      <c r="C19" s="15">
        <f>C11-C17</f>
        <v>-1130339.5899999999</v>
      </c>
      <c r="D19" s="15">
        <f>B19-C19</f>
        <v>26525.999999999767</v>
      </c>
      <c r="E19" s="16">
        <f>IFERROR(D19/C19, 0)</f>
        <v>-2.3467283845202459E-2</v>
      </c>
    </row>
    <row r="21" spans="1:5" ht="19.95" customHeight="1" x14ac:dyDescent="0.3">
      <c r="A21" s="6" t="s">
        <v>20</v>
      </c>
      <c r="B21" s="7"/>
      <c r="C21" s="7"/>
      <c r="D21" s="7"/>
      <c r="E21" s="7"/>
    </row>
    <row r="22" spans="1:5" ht="19.95" customHeight="1" x14ac:dyDescent="0.3">
      <c r="A22" s="8" t="s">
        <v>21</v>
      </c>
      <c r="B22" s="9">
        <f>SUMIFS(Actuals!F:F, Actuals!A:A, $D$3, Actuals!B:B, $E$3, Actuals!E:E, "Salaries")</f>
        <v>304371.95</v>
      </c>
      <c r="C22" s="9">
        <f>SUMIFS(Budget!F:F, Budget!A:A, $D$3, Budget!B:B, $E$3, Budget!E:E, "Salaries")</f>
        <v>293589.14</v>
      </c>
      <c r="D22" s="9">
        <f t="shared" ref="D22:D30" si="0">C22-B22</f>
        <v>-10782.809999999998</v>
      </c>
      <c r="E22" s="10">
        <f t="shared" ref="E22:E30" si="1">IFERROR(D22/C22, 0)</f>
        <v>-3.6727550617165192E-2</v>
      </c>
    </row>
    <row r="23" spans="1:5" ht="19.95" customHeight="1" x14ac:dyDescent="0.3">
      <c r="A23" s="8" t="s">
        <v>22</v>
      </c>
      <c r="B23" s="9">
        <f>SUMIFS(Actuals!F:F, Actuals!A:A, $D$3, Actuals!B:B, $E$3, Actuals!E:E, "Marketing Spend")</f>
        <v>480187.30999999994</v>
      </c>
      <c r="C23" s="9">
        <f>SUMIFS(Budget!F:F, Budget!A:A, $D$3, Budget!B:B, $E$3, Budget!E:E, "Marketing Spend")</f>
        <v>498532.85</v>
      </c>
      <c r="D23" s="9">
        <f t="shared" si="0"/>
        <v>18345.540000000037</v>
      </c>
      <c r="E23" s="10">
        <f t="shared" si="1"/>
        <v>3.6799059480232925E-2</v>
      </c>
    </row>
    <row r="24" spans="1:5" ht="19.95" customHeight="1" x14ac:dyDescent="0.3">
      <c r="A24" s="8" t="s">
        <v>23</v>
      </c>
      <c r="B24" s="9">
        <f>SUMIFS(Actuals!F:F, Actuals!A:A, $D$3, Actuals!B:B, $E$3, Actuals!E:E, "Software &amp; SaaS")</f>
        <v>478857</v>
      </c>
      <c r="C24" s="9">
        <f>SUMIFS(Budget!F:F, Budget!A:A, $D$3, Budget!B:B, $E$3, Budget!E:E, "Software &amp; SaaS")</f>
        <v>470040.04</v>
      </c>
      <c r="D24" s="9">
        <f t="shared" si="0"/>
        <v>-8816.960000000021</v>
      </c>
      <c r="E24" s="10">
        <f t="shared" si="1"/>
        <v>-1.8757891349000865E-2</v>
      </c>
    </row>
    <row r="25" spans="1:5" ht="19.95" customHeight="1" x14ac:dyDescent="0.3">
      <c r="A25" s="8" t="s">
        <v>24</v>
      </c>
      <c r="B25" s="9">
        <f>SUMIFS(Actuals!F:F, Actuals!A:A, $D$3, Actuals!B:B, $E$3, Actuals!E:E, "Office Rent")</f>
        <v>574661.27</v>
      </c>
      <c r="C25" s="9">
        <f>SUMIFS(Budget!F:F, Budget!A:A, $D$3, Budget!B:B, $E$3, Budget!E:E, "Office Rent")</f>
        <v>545685.18999999994</v>
      </c>
      <c r="D25" s="9">
        <f t="shared" si="0"/>
        <v>-28976.080000000075</v>
      </c>
      <c r="E25" s="10">
        <f t="shared" si="1"/>
        <v>-5.3100359934635716E-2</v>
      </c>
    </row>
    <row r="26" spans="1:5" ht="19.95" customHeight="1" x14ac:dyDescent="0.3">
      <c r="A26" s="8" t="s">
        <v>25</v>
      </c>
      <c r="B26" s="9">
        <f>SUMIFS(Actuals!F:F, Actuals!A:A, $D$3, Actuals!B:B, $E$3, Actuals!E:E, "Travel &amp; Entertainment")</f>
        <v>490415</v>
      </c>
      <c r="C26" s="9">
        <f>SUMIFS(Budget!F:F, Budget!A:A, $D$3, Budget!B:B, $E$3, Budget!E:E, "Travel &amp; Entertainment")</f>
        <v>447771.76</v>
      </c>
      <c r="D26" s="9">
        <f t="shared" si="0"/>
        <v>-42643.239999999991</v>
      </c>
      <c r="E26" s="10">
        <f t="shared" si="1"/>
        <v>-9.5234322057290946E-2</v>
      </c>
    </row>
    <row r="27" spans="1:5" ht="19.95" customHeight="1" x14ac:dyDescent="0.3">
      <c r="A27" s="8" t="s">
        <v>26</v>
      </c>
      <c r="B27" s="9">
        <f>SUMIFS(Actuals!F:F, Actuals!A:A, $D$3, Actuals!B:B, $E$3, Actuals!E:E, "Professional Services")</f>
        <v>416125.37</v>
      </c>
      <c r="C27" s="9">
        <f>SUMIFS(Budget!F:F, Budget!A:A, $D$3, Budget!B:B, $E$3, Budget!E:E, "Professional Services")</f>
        <v>406747.98000000004</v>
      </c>
      <c r="D27" s="9">
        <f t="shared" si="0"/>
        <v>-9377.3899999999558</v>
      </c>
      <c r="E27" s="10">
        <f t="shared" si="1"/>
        <v>-2.3054545962342469E-2</v>
      </c>
    </row>
    <row r="28" spans="1:5" ht="19.95" customHeight="1" x14ac:dyDescent="0.3">
      <c r="A28" s="8" t="s">
        <v>27</v>
      </c>
      <c r="B28" s="9">
        <f>SUMIFS(Actuals!F:F, Actuals!A:A, $D$3, Actuals!B:B, $E$3, Actuals!E:E, "Utilities")</f>
        <v>447146.44000000006</v>
      </c>
      <c r="C28" s="9">
        <f>SUMIFS(Budget!F:F, Budget!A:A, $D$3, Budget!B:B, $E$3, Budget!E:E, "Utilities")</f>
        <v>403140.31</v>
      </c>
      <c r="D28" s="9">
        <f t="shared" si="0"/>
        <v>-44006.130000000063</v>
      </c>
      <c r="E28" s="10">
        <f t="shared" si="1"/>
        <v>-0.10915834737538417</v>
      </c>
    </row>
    <row r="29" spans="1:5" ht="19.95" customHeight="1" x14ac:dyDescent="0.3">
      <c r="A29" s="8" t="s">
        <v>28</v>
      </c>
      <c r="B29" s="9">
        <f>SUMIFS(Actuals!F:F, Actuals!A:A, $D$3, Actuals!B:B, $E$3, Actuals!E:E, "Depreciation")</f>
        <v>518244.67999999993</v>
      </c>
      <c r="C29" s="9">
        <f>SUMIFS(Budget!F:F, Budget!A:A, $D$3, Budget!B:B, $E$3, Budget!E:E, "Depreciation")</f>
        <v>517754.80000000005</v>
      </c>
      <c r="D29" s="9">
        <f t="shared" si="0"/>
        <v>-489.87999999988824</v>
      </c>
      <c r="E29" s="10">
        <f t="shared" si="1"/>
        <v>-9.4616216015744943E-4</v>
      </c>
    </row>
    <row r="30" spans="1:5" ht="19.95" customHeight="1" x14ac:dyDescent="0.3">
      <c r="A30" s="11" t="s">
        <v>29</v>
      </c>
      <c r="B30" s="12">
        <f>SUM(B22:B29)</f>
        <v>3710009.0200000005</v>
      </c>
      <c r="C30" s="12">
        <f>SUM(C22:C29)</f>
        <v>3583262.0700000003</v>
      </c>
      <c r="D30" s="12">
        <f t="shared" si="0"/>
        <v>-126746.95000000019</v>
      </c>
      <c r="E30" s="13">
        <f t="shared" si="1"/>
        <v>-3.5371945317971165E-2</v>
      </c>
    </row>
    <row r="32" spans="1:5" ht="24" customHeight="1" x14ac:dyDescent="0.3">
      <c r="A32" s="17" t="s">
        <v>30</v>
      </c>
      <c r="B32" s="18">
        <f>B19-B30</f>
        <v>-4813822.6100000003</v>
      </c>
      <c r="C32" s="18">
        <f>C19-C30</f>
        <v>-4713601.66</v>
      </c>
      <c r="D32" s="18">
        <f>B32-C32</f>
        <v>-100220.95000000019</v>
      </c>
      <c r="E32" s="19">
        <f>IFERROR(D32/C32, 0)</f>
        <v>2.1262074572504328E-2</v>
      </c>
    </row>
  </sheetData>
  <mergeCells count="2">
    <mergeCell ref="A2:E2"/>
    <mergeCell ref="A1:E1"/>
  </mergeCells>
  <conditionalFormatting sqref="D8:E12">
    <cfRule type="cellIs" dxfId="5" priority="1" stopIfTrue="1" operator="greaterThan">
      <formula>0</formula>
    </cfRule>
    <cfRule type="cellIs" dxfId="4" priority="2" stopIfTrue="1" operator="lessThan">
      <formula>0</formula>
    </cfRule>
  </conditionalFormatting>
  <conditionalFormatting sqref="D14:E19">
    <cfRule type="cellIs" dxfId="3" priority="3" stopIfTrue="1" operator="greaterThan">
      <formula>0</formula>
    </cfRule>
    <cfRule type="cellIs" dxfId="2" priority="3" stopIfTrue="1" operator="lessThan">
      <formula>0</formula>
    </cfRule>
  </conditionalFormatting>
  <conditionalFormatting sqref="D22:E31">
    <cfRule type="cellIs" dxfId="1" priority="5" stopIfTrue="1" operator="greaterThan">
      <formula>0</formula>
    </cfRule>
    <cfRule type="cellIs" dxfId="0" priority="5" stopIfTrue="1" operator="lessThan">
      <formula>0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Your entry is not in the list" promptTitle="Select Period" prompt="Please select a period from the list" xr:uid="{00000000-0002-0000-0000-000000000000}">
          <x14:formula1>
            <xm:f>Settings!$A$2:$A$25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21"/>
  <sheetViews>
    <sheetView workbookViewId="0"/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2023</v>
      </c>
      <c r="B2">
        <v>1</v>
      </c>
      <c r="C2" t="s">
        <v>37</v>
      </c>
      <c r="D2" t="s">
        <v>38</v>
      </c>
      <c r="E2" t="s">
        <v>39</v>
      </c>
      <c r="F2">
        <v>12974.03</v>
      </c>
    </row>
    <row r="3" spans="1:6" x14ac:dyDescent="0.3">
      <c r="A3">
        <v>2023</v>
      </c>
      <c r="B3">
        <v>1</v>
      </c>
      <c r="C3" t="s">
        <v>40</v>
      </c>
      <c r="D3" t="s">
        <v>38</v>
      </c>
      <c r="E3" t="s">
        <v>39</v>
      </c>
      <c r="F3">
        <v>138639.24</v>
      </c>
    </row>
    <row r="4" spans="1:6" x14ac:dyDescent="0.3">
      <c r="A4">
        <v>2023</v>
      </c>
      <c r="B4">
        <v>1</v>
      </c>
      <c r="C4" t="s">
        <v>41</v>
      </c>
      <c r="D4" t="s">
        <v>38</v>
      </c>
      <c r="E4" t="s">
        <v>39</v>
      </c>
      <c r="F4">
        <v>68183.75</v>
      </c>
    </row>
    <row r="5" spans="1:6" x14ac:dyDescent="0.3">
      <c r="A5">
        <v>2023</v>
      </c>
      <c r="B5">
        <v>1</v>
      </c>
      <c r="C5" t="s">
        <v>42</v>
      </c>
      <c r="D5" t="s">
        <v>38</v>
      </c>
      <c r="E5" t="s">
        <v>39</v>
      </c>
      <c r="F5">
        <v>72720.94</v>
      </c>
    </row>
    <row r="6" spans="1:6" x14ac:dyDescent="0.3">
      <c r="A6">
        <v>2023</v>
      </c>
      <c r="B6">
        <v>1</v>
      </c>
      <c r="C6" t="s">
        <v>43</v>
      </c>
      <c r="D6" t="s">
        <v>38</v>
      </c>
      <c r="E6" t="s">
        <v>39</v>
      </c>
      <c r="F6">
        <v>71246.75</v>
      </c>
    </row>
    <row r="7" spans="1:6" x14ac:dyDescent="0.3">
      <c r="A7">
        <v>2023</v>
      </c>
      <c r="B7">
        <v>1</v>
      </c>
      <c r="C7" t="s">
        <v>44</v>
      </c>
      <c r="D7" t="s">
        <v>38</v>
      </c>
      <c r="E7" t="s">
        <v>39</v>
      </c>
      <c r="F7">
        <v>44919.74</v>
      </c>
    </row>
    <row r="8" spans="1:6" x14ac:dyDescent="0.3">
      <c r="A8">
        <v>2023</v>
      </c>
      <c r="B8">
        <v>1</v>
      </c>
      <c r="C8" t="s">
        <v>45</v>
      </c>
      <c r="D8" t="s">
        <v>38</v>
      </c>
      <c r="E8" t="s">
        <v>39</v>
      </c>
      <c r="F8">
        <v>52878.96</v>
      </c>
    </row>
    <row r="9" spans="1:6" x14ac:dyDescent="0.3">
      <c r="A9">
        <v>2023</v>
      </c>
      <c r="B9">
        <v>1</v>
      </c>
      <c r="C9" t="s">
        <v>37</v>
      </c>
      <c r="D9" t="s">
        <v>38</v>
      </c>
      <c r="E9" t="s">
        <v>46</v>
      </c>
      <c r="F9">
        <v>53987.48</v>
      </c>
    </row>
    <row r="10" spans="1:6" x14ac:dyDescent="0.3">
      <c r="A10">
        <v>2023</v>
      </c>
      <c r="B10">
        <v>1</v>
      </c>
      <c r="C10" t="s">
        <v>40</v>
      </c>
      <c r="D10" t="s">
        <v>38</v>
      </c>
      <c r="E10" t="s">
        <v>46</v>
      </c>
      <c r="F10">
        <v>117405.44</v>
      </c>
    </row>
    <row r="11" spans="1:6" x14ac:dyDescent="0.3">
      <c r="A11">
        <v>2023</v>
      </c>
      <c r="B11">
        <v>1</v>
      </c>
      <c r="C11" t="s">
        <v>41</v>
      </c>
      <c r="D11" t="s">
        <v>38</v>
      </c>
      <c r="E11" t="s">
        <v>46</v>
      </c>
      <c r="F11">
        <v>49018.5</v>
      </c>
    </row>
    <row r="12" spans="1:6" x14ac:dyDescent="0.3">
      <c r="A12">
        <v>2023</v>
      </c>
      <c r="B12">
        <v>1</v>
      </c>
      <c r="C12" t="s">
        <v>42</v>
      </c>
      <c r="D12" t="s">
        <v>38</v>
      </c>
      <c r="E12" t="s">
        <v>46</v>
      </c>
      <c r="F12">
        <v>37790.43</v>
      </c>
    </row>
    <row r="13" spans="1:6" x14ac:dyDescent="0.3">
      <c r="A13">
        <v>2023</v>
      </c>
      <c r="B13">
        <v>1</v>
      </c>
      <c r="C13" t="s">
        <v>43</v>
      </c>
      <c r="D13" t="s">
        <v>38</v>
      </c>
      <c r="E13" t="s">
        <v>46</v>
      </c>
      <c r="F13">
        <v>74914.45</v>
      </c>
    </row>
    <row r="14" spans="1:6" x14ac:dyDescent="0.3">
      <c r="A14">
        <v>2023</v>
      </c>
      <c r="B14">
        <v>1</v>
      </c>
      <c r="C14" t="s">
        <v>44</v>
      </c>
      <c r="D14" t="s">
        <v>38</v>
      </c>
      <c r="E14" t="s">
        <v>46</v>
      </c>
      <c r="F14">
        <v>74406.83</v>
      </c>
    </row>
    <row r="15" spans="1:6" x14ac:dyDescent="0.3">
      <c r="A15">
        <v>2023</v>
      </c>
      <c r="B15">
        <v>1</v>
      </c>
      <c r="C15" t="s">
        <v>45</v>
      </c>
      <c r="D15" t="s">
        <v>38</v>
      </c>
      <c r="E15" t="s">
        <v>46</v>
      </c>
      <c r="F15">
        <v>86883.63</v>
      </c>
    </row>
    <row r="16" spans="1:6" x14ac:dyDescent="0.3">
      <c r="A16">
        <v>2023</v>
      </c>
      <c r="B16">
        <v>1</v>
      </c>
      <c r="C16" t="s">
        <v>37</v>
      </c>
      <c r="D16" t="s">
        <v>38</v>
      </c>
      <c r="E16" t="s">
        <v>47</v>
      </c>
      <c r="F16">
        <v>106802.17</v>
      </c>
    </row>
    <row r="17" spans="1:6" x14ac:dyDescent="0.3">
      <c r="A17">
        <v>2023</v>
      </c>
      <c r="B17">
        <v>1</v>
      </c>
      <c r="C17" t="s">
        <v>40</v>
      </c>
      <c r="D17" t="s">
        <v>38</v>
      </c>
      <c r="E17" t="s">
        <v>47</v>
      </c>
      <c r="F17">
        <v>88020.69</v>
      </c>
    </row>
    <row r="18" spans="1:6" x14ac:dyDescent="0.3">
      <c r="A18">
        <v>2023</v>
      </c>
      <c r="B18">
        <v>1</v>
      </c>
      <c r="C18" t="s">
        <v>41</v>
      </c>
      <c r="D18" t="s">
        <v>38</v>
      </c>
      <c r="E18" t="s">
        <v>47</v>
      </c>
      <c r="F18">
        <v>47989.16</v>
      </c>
    </row>
    <row r="19" spans="1:6" x14ac:dyDescent="0.3">
      <c r="A19">
        <v>2023</v>
      </c>
      <c r="B19">
        <v>1</v>
      </c>
      <c r="C19" t="s">
        <v>42</v>
      </c>
      <c r="D19" t="s">
        <v>38</v>
      </c>
      <c r="E19" t="s">
        <v>47</v>
      </c>
      <c r="F19">
        <v>96288.34</v>
      </c>
    </row>
    <row r="20" spans="1:6" x14ac:dyDescent="0.3">
      <c r="A20">
        <v>2023</v>
      </c>
      <c r="B20">
        <v>1</v>
      </c>
      <c r="C20" t="s">
        <v>43</v>
      </c>
      <c r="D20" t="s">
        <v>38</v>
      </c>
      <c r="E20" t="s">
        <v>47</v>
      </c>
      <c r="F20">
        <v>69988.59</v>
      </c>
    </row>
    <row r="21" spans="1:6" x14ac:dyDescent="0.3">
      <c r="A21">
        <v>2023</v>
      </c>
      <c r="B21">
        <v>1</v>
      </c>
      <c r="C21" t="s">
        <v>44</v>
      </c>
      <c r="D21" t="s">
        <v>38</v>
      </c>
      <c r="E21" t="s">
        <v>47</v>
      </c>
      <c r="F21">
        <v>78744.600000000006</v>
      </c>
    </row>
    <row r="22" spans="1:6" x14ac:dyDescent="0.3">
      <c r="A22">
        <v>2023</v>
      </c>
      <c r="B22">
        <v>1</v>
      </c>
      <c r="C22" t="s">
        <v>45</v>
      </c>
      <c r="D22" t="s">
        <v>38</v>
      </c>
      <c r="E22" t="s">
        <v>47</v>
      </c>
      <c r="F22">
        <v>106138.18</v>
      </c>
    </row>
    <row r="23" spans="1:6" x14ac:dyDescent="0.3">
      <c r="A23">
        <v>2023</v>
      </c>
      <c r="B23">
        <v>1</v>
      </c>
      <c r="C23" t="s">
        <v>37</v>
      </c>
      <c r="D23" t="s">
        <v>48</v>
      </c>
      <c r="E23" t="s">
        <v>49</v>
      </c>
      <c r="F23">
        <v>122991.69</v>
      </c>
    </row>
    <row r="24" spans="1:6" x14ac:dyDescent="0.3">
      <c r="A24">
        <v>2023</v>
      </c>
      <c r="B24">
        <v>1</v>
      </c>
      <c r="C24" t="s">
        <v>40</v>
      </c>
      <c r="D24" t="s">
        <v>48</v>
      </c>
      <c r="E24" t="s">
        <v>49</v>
      </c>
      <c r="F24">
        <v>66759.320000000007</v>
      </c>
    </row>
    <row r="25" spans="1:6" x14ac:dyDescent="0.3">
      <c r="A25">
        <v>2023</v>
      </c>
      <c r="B25">
        <v>1</v>
      </c>
      <c r="C25" t="s">
        <v>41</v>
      </c>
      <c r="D25" t="s">
        <v>48</v>
      </c>
      <c r="E25" t="s">
        <v>49</v>
      </c>
      <c r="F25">
        <v>11951.21</v>
      </c>
    </row>
    <row r="26" spans="1:6" x14ac:dyDescent="0.3">
      <c r="A26">
        <v>2023</v>
      </c>
      <c r="B26">
        <v>1</v>
      </c>
      <c r="C26" t="s">
        <v>42</v>
      </c>
      <c r="D26" t="s">
        <v>48</v>
      </c>
      <c r="E26" t="s">
        <v>49</v>
      </c>
      <c r="F26">
        <v>65268.28</v>
      </c>
    </row>
    <row r="27" spans="1:6" x14ac:dyDescent="0.3">
      <c r="A27">
        <v>2023</v>
      </c>
      <c r="B27">
        <v>1</v>
      </c>
      <c r="C27" t="s">
        <v>43</v>
      </c>
      <c r="D27" t="s">
        <v>48</v>
      </c>
      <c r="E27" t="s">
        <v>49</v>
      </c>
      <c r="F27">
        <v>36572.17</v>
      </c>
    </row>
    <row r="28" spans="1:6" x14ac:dyDescent="0.3">
      <c r="A28">
        <v>2023</v>
      </c>
      <c r="B28">
        <v>1</v>
      </c>
      <c r="C28" t="s">
        <v>44</v>
      </c>
      <c r="D28" t="s">
        <v>48</v>
      </c>
      <c r="E28" t="s">
        <v>49</v>
      </c>
      <c r="F28">
        <v>25478.26</v>
      </c>
    </row>
    <row r="29" spans="1:6" x14ac:dyDescent="0.3">
      <c r="A29">
        <v>2023</v>
      </c>
      <c r="B29">
        <v>1</v>
      </c>
      <c r="C29" t="s">
        <v>45</v>
      </c>
      <c r="D29" t="s">
        <v>48</v>
      </c>
      <c r="E29" t="s">
        <v>49</v>
      </c>
      <c r="F29">
        <v>107820.39</v>
      </c>
    </row>
    <row r="30" spans="1:6" x14ac:dyDescent="0.3">
      <c r="A30">
        <v>2023</v>
      </c>
      <c r="B30">
        <v>1</v>
      </c>
      <c r="C30" t="s">
        <v>37</v>
      </c>
      <c r="D30" t="s">
        <v>48</v>
      </c>
      <c r="E30" t="s">
        <v>50</v>
      </c>
      <c r="F30">
        <v>116914.36</v>
      </c>
    </row>
    <row r="31" spans="1:6" x14ac:dyDescent="0.3">
      <c r="A31">
        <v>2023</v>
      </c>
      <c r="B31">
        <v>1</v>
      </c>
      <c r="C31" t="s">
        <v>40</v>
      </c>
      <c r="D31" t="s">
        <v>48</v>
      </c>
      <c r="E31" t="s">
        <v>50</v>
      </c>
      <c r="F31">
        <v>25378.17</v>
      </c>
    </row>
    <row r="32" spans="1:6" x14ac:dyDescent="0.3">
      <c r="A32">
        <v>2023</v>
      </c>
      <c r="B32">
        <v>1</v>
      </c>
      <c r="C32" t="s">
        <v>41</v>
      </c>
      <c r="D32" t="s">
        <v>48</v>
      </c>
      <c r="E32" t="s">
        <v>50</v>
      </c>
      <c r="F32">
        <v>84258.77</v>
      </c>
    </row>
    <row r="33" spans="1:6" x14ac:dyDescent="0.3">
      <c r="A33">
        <v>2023</v>
      </c>
      <c r="B33">
        <v>1</v>
      </c>
      <c r="C33" t="s">
        <v>42</v>
      </c>
      <c r="D33" t="s">
        <v>48</v>
      </c>
      <c r="E33" t="s">
        <v>50</v>
      </c>
      <c r="F33">
        <v>68250.28</v>
      </c>
    </row>
    <row r="34" spans="1:6" x14ac:dyDescent="0.3">
      <c r="A34">
        <v>2023</v>
      </c>
      <c r="B34">
        <v>1</v>
      </c>
      <c r="C34" t="s">
        <v>43</v>
      </c>
      <c r="D34" t="s">
        <v>48</v>
      </c>
      <c r="E34" t="s">
        <v>50</v>
      </c>
      <c r="F34">
        <v>11883.56</v>
      </c>
    </row>
    <row r="35" spans="1:6" x14ac:dyDescent="0.3">
      <c r="A35">
        <v>2023</v>
      </c>
      <c r="B35">
        <v>1</v>
      </c>
      <c r="C35" t="s">
        <v>44</v>
      </c>
      <c r="D35" t="s">
        <v>48</v>
      </c>
      <c r="E35" t="s">
        <v>50</v>
      </c>
      <c r="F35">
        <v>41104.9</v>
      </c>
    </row>
    <row r="36" spans="1:6" x14ac:dyDescent="0.3">
      <c r="A36">
        <v>2023</v>
      </c>
      <c r="B36">
        <v>1</v>
      </c>
      <c r="C36" t="s">
        <v>45</v>
      </c>
      <c r="D36" t="s">
        <v>48</v>
      </c>
      <c r="E36" t="s">
        <v>50</v>
      </c>
      <c r="F36">
        <v>48088.62</v>
      </c>
    </row>
    <row r="37" spans="1:6" x14ac:dyDescent="0.3">
      <c r="A37">
        <v>2023</v>
      </c>
      <c r="B37">
        <v>1</v>
      </c>
      <c r="C37" t="s">
        <v>37</v>
      </c>
      <c r="D37" t="s">
        <v>48</v>
      </c>
      <c r="E37" t="s">
        <v>51</v>
      </c>
      <c r="F37">
        <v>116067.92</v>
      </c>
    </row>
    <row r="38" spans="1:6" x14ac:dyDescent="0.3">
      <c r="A38">
        <v>2023</v>
      </c>
      <c r="B38">
        <v>1</v>
      </c>
      <c r="C38" t="s">
        <v>40</v>
      </c>
      <c r="D38" t="s">
        <v>48</v>
      </c>
      <c r="E38" t="s">
        <v>51</v>
      </c>
      <c r="F38">
        <v>98693.22</v>
      </c>
    </row>
    <row r="39" spans="1:6" x14ac:dyDescent="0.3">
      <c r="A39">
        <v>2023</v>
      </c>
      <c r="B39">
        <v>1</v>
      </c>
      <c r="C39" t="s">
        <v>41</v>
      </c>
      <c r="D39" t="s">
        <v>48</v>
      </c>
      <c r="E39" t="s">
        <v>51</v>
      </c>
      <c r="F39">
        <v>36868.370000000003</v>
      </c>
    </row>
    <row r="40" spans="1:6" x14ac:dyDescent="0.3">
      <c r="A40">
        <v>2023</v>
      </c>
      <c r="B40">
        <v>1</v>
      </c>
      <c r="C40" t="s">
        <v>42</v>
      </c>
      <c r="D40" t="s">
        <v>48</v>
      </c>
      <c r="E40" t="s">
        <v>51</v>
      </c>
      <c r="F40">
        <v>16777.47</v>
      </c>
    </row>
    <row r="41" spans="1:6" x14ac:dyDescent="0.3">
      <c r="A41">
        <v>2023</v>
      </c>
      <c r="B41">
        <v>1</v>
      </c>
      <c r="C41" t="s">
        <v>43</v>
      </c>
      <c r="D41" t="s">
        <v>48</v>
      </c>
      <c r="E41" t="s">
        <v>51</v>
      </c>
      <c r="F41">
        <v>89220.67</v>
      </c>
    </row>
    <row r="42" spans="1:6" x14ac:dyDescent="0.3">
      <c r="A42">
        <v>2023</v>
      </c>
      <c r="B42">
        <v>1</v>
      </c>
      <c r="C42" t="s">
        <v>44</v>
      </c>
      <c r="D42" t="s">
        <v>48</v>
      </c>
      <c r="E42" t="s">
        <v>51</v>
      </c>
      <c r="F42">
        <v>107517.77</v>
      </c>
    </row>
    <row r="43" spans="1:6" x14ac:dyDescent="0.3">
      <c r="A43">
        <v>2023</v>
      </c>
      <c r="B43">
        <v>1</v>
      </c>
      <c r="C43" t="s">
        <v>45</v>
      </c>
      <c r="D43" t="s">
        <v>48</v>
      </c>
      <c r="E43" t="s">
        <v>51</v>
      </c>
      <c r="F43">
        <v>30292.81</v>
      </c>
    </row>
    <row r="44" spans="1:6" x14ac:dyDescent="0.3">
      <c r="A44">
        <v>2023</v>
      </c>
      <c r="B44">
        <v>1</v>
      </c>
      <c r="C44" t="s">
        <v>37</v>
      </c>
      <c r="D44" t="s">
        <v>48</v>
      </c>
      <c r="E44" t="s">
        <v>52</v>
      </c>
      <c r="F44">
        <v>116482.67</v>
      </c>
    </row>
    <row r="45" spans="1:6" x14ac:dyDescent="0.3">
      <c r="A45">
        <v>2023</v>
      </c>
      <c r="B45">
        <v>1</v>
      </c>
      <c r="C45" t="s">
        <v>40</v>
      </c>
      <c r="D45" t="s">
        <v>48</v>
      </c>
      <c r="E45" t="s">
        <v>52</v>
      </c>
      <c r="F45">
        <v>63561.39</v>
      </c>
    </row>
    <row r="46" spans="1:6" x14ac:dyDescent="0.3">
      <c r="A46">
        <v>2023</v>
      </c>
      <c r="B46">
        <v>1</v>
      </c>
      <c r="C46" t="s">
        <v>41</v>
      </c>
      <c r="D46" t="s">
        <v>48</v>
      </c>
      <c r="E46" t="s">
        <v>52</v>
      </c>
      <c r="F46">
        <v>86509.63</v>
      </c>
    </row>
    <row r="47" spans="1:6" x14ac:dyDescent="0.3">
      <c r="A47">
        <v>2023</v>
      </c>
      <c r="B47">
        <v>1</v>
      </c>
      <c r="C47" t="s">
        <v>42</v>
      </c>
      <c r="D47" t="s">
        <v>48</v>
      </c>
      <c r="E47" t="s">
        <v>52</v>
      </c>
      <c r="F47">
        <v>60952.75</v>
      </c>
    </row>
    <row r="48" spans="1:6" x14ac:dyDescent="0.3">
      <c r="A48">
        <v>2023</v>
      </c>
      <c r="B48">
        <v>1</v>
      </c>
      <c r="C48" t="s">
        <v>43</v>
      </c>
      <c r="D48" t="s">
        <v>48</v>
      </c>
      <c r="E48" t="s">
        <v>52</v>
      </c>
      <c r="F48">
        <v>39636.160000000003</v>
      </c>
    </row>
    <row r="49" spans="1:6" x14ac:dyDescent="0.3">
      <c r="A49">
        <v>2023</v>
      </c>
      <c r="B49">
        <v>1</v>
      </c>
      <c r="C49" t="s">
        <v>44</v>
      </c>
      <c r="D49" t="s">
        <v>48</v>
      </c>
      <c r="E49" t="s">
        <v>52</v>
      </c>
      <c r="F49">
        <v>46972.12</v>
      </c>
    </row>
    <row r="50" spans="1:6" x14ac:dyDescent="0.3">
      <c r="A50">
        <v>2023</v>
      </c>
      <c r="B50">
        <v>1</v>
      </c>
      <c r="C50" t="s">
        <v>45</v>
      </c>
      <c r="D50" t="s">
        <v>48</v>
      </c>
      <c r="E50" t="s">
        <v>52</v>
      </c>
      <c r="F50">
        <v>26393.43</v>
      </c>
    </row>
    <row r="51" spans="1:6" x14ac:dyDescent="0.3">
      <c r="A51">
        <v>2023</v>
      </c>
      <c r="B51">
        <v>1</v>
      </c>
      <c r="C51" t="s">
        <v>37</v>
      </c>
      <c r="D51" t="s">
        <v>48</v>
      </c>
      <c r="E51" t="s">
        <v>53</v>
      </c>
      <c r="F51">
        <v>73143.42</v>
      </c>
    </row>
    <row r="52" spans="1:6" x14ac:dyDescent="0.3">
      <c r="A52">
        <v>2023</v>
      </c>
      <c r="B52">
        <v>1</v>
      </c>
      <c r="C52" t="s">
        <v>40</v>
      </c>
      <c r="D52" t="s">
        <v>48</v>
      </c>
      <c r="E52" t="s">
        <v>53</v>
      </c>
      <c r="F52">
        <v>40797.89</v>
      </c>
    </row>
    <row r="53" spans="1:6" x14ac:dyDescent="0.3">
      <c r="A53">
        <v>2023</v>
      </c>
      <c r="B53">
        <v>1</v>
      </c>
      <c r="C53" t="s">
        <v>41</v>
      </c>
      <c r="D53" t="s">
        <v>48</v>
      </c>
      <c r="E53" t="s">
        <v>53</v>
      </c>
      <c r="F53">
        <v>52940.66</v>
      </c>
    </row>
    <row r="54" spans="1:6" x14ac:dyDescent="0.3">
      <c r="A54">
        <v>2023</v>
      </c>
      <c r="B54">
        <v>1</v>
      </c>
      <c r="C54" t="s">
        <v>42</v>
      </c>
      <c r="D54" t="s">
        <v>48</v>
      </c>
      <c r="E54" t="s">
        <v>53</v>
      </c>
      <c r="F54">
        <v>37849.360000000001</v>
      </c>
    </row>
    <row r="55" spans="1:6" x14ac:dyDescent="0.3">
      <c r="A55">
        <v>2023</v>
      </c>
      <c r="B55">
        <v>1</v>
      </c>
      <c r="C55" t="s">
        <v>43</v>
      </c>
      <c r="D55" t="s">
        <v>48</v>
      </c>
      <c r="E55" t="s">
        <v>53</v>
      </c>
      <c r="F55">
        <v>129410.21</v>
      </c>
    </row>
    <row r="56" spans="1:6" x14ac:dyDescent="0.3">
      <c r="A56">
        <v>2023</v>
      </c>
      <c r="B56">
        <v>1</v>
      </c>
      <c r="C56" t="s">
        <v>44</v>
      </c>
      <c r="D56" t="s">
        <v>48</v>
      </c>
      <c r="E56" t="s">
        <v>53</v>
      </c>
      <c r="F56">
        <v>51235.29</v>
      </c>
    </row>
    <row r="57" spans="1:6" x14ac:dyDescent="0.3">
      <c r="A57">
        <v>2023</v>
      </c>
      <c r="B57">
        <v>1</v>
      </c>
      <c r="C57" t="s">
        <v>45</v>
      </c>
      <c r="D57" t="s">
        <v>48</v>
      </c>
      <c r="E57" t="s">
        <v>53</v>
      </c>
      <c r="F57">
        <v>100365.55</v>
      </c>
    </row>
    <row r="58" spans="1:6" x14ac:dyDescent="0.3">
      <c r="A58">
        <v>2023</v>
      </c>
      <c r="B58">
        <v>1</v>
      </c>
      <c r="C58" t="s">
        <v>37</v>
      </c>
      <c r="D58" t="s">
        <v>48</v>
      </c>
      <c r="E58" t="s">
        <v>54</v>
      </c>
      <c r="F58">
        <v>46558.34</v>
      </c>
    </row>
    <row r="59" spans="1:6" x14ac:dyDescent="0.3">
      <c r="A59">
        <v>2023</v>
      </c>
      <c r="B59">
        <v>1</v>
      </c>
      <c r="C59" t="s">
        <v>40</v>
      </c>
      <c r="D59" t="s">
        <v>48</v>
      </c>
      <c r="E59" t="s">
        <v>54</v>
      </c>
      <c r="F59">
        <v>75264.63</v>
      </c>
    </row>
    <row r="60" spans="1:6" x14ac:dyDescent="0.3">
      <c r="A60">
        <v>2023</v>
      </c>
      <c r="B60">
        <v>1</v>
      </c>
      <c r="C60" t="s">
        <v>41</v>
      </c>
      <c r="D60" t="s">
        <v>48</v>
      </c>
      <c r="E60" t="s">
        <v>54</v>
      </c>
      <c r="F60">
        <v>53699.01</v>
      </c>
    </row>
    <row r="61" spans="1:6" x14ac:dyDescent="0.3">
      <c r="A61">
        <v>2023</v>
      </c>
      <c r="B61">
        <v>1</v>
      </c>
      <c r="C61" t="s">
        <v>42</v>
      </c>
      <c r="D61" t="s">
        <v>48</v>
      </c>
      <c r="E61" t="s">
        <v>54</v>
      </c>
      <c r="F61">
        <v>48511.47</v>
      </c>
    </row>
    <row r="62" spans="1:6" x14ac:dyDescent="0.3">
      <c r="A62">
        <v>2023</v>
      </c>
      <c r="B62">
        <v>1</v>
      </c>
      <c r="C62" t="s">
        <v>43</v>
      </c>
      <c r="D62" t="s">
        <v>48</v>
      </c>
      <c r="E62" t="s">
        <v>54</v>
      </c>
      <c r="F62">
        <v>40760.699999999997</v>
      </c>
    </row>
    <row r="63" spans="1:6" x14ac:dyDescent="0.3">
      <c r="A63">
        <v>2023</v>
      </c>
      <c r="B63">
        <v>1</v>
      </c>
      <c r="C63" t="s">
        <v>44</v>
      </c>
      <c r="D63" t="s">
        <v>48</v>
      </c>
      <c r="E63" t="s">
        <v>54</v>
      </c>
      <c r="F63">
        <v>40604.089999999997</v>
      </c>
    </row>
    <row r="64" spans="1:6" x14ac:dyDescent="0.3">
      <c r="A64">
        <v>2023</v>
      </c>
      <c r="B64">
        <v>1</v>
      </c>
      <c r="C64" t="s">
        <v>45</v>
      </c>
      <c r="D64" t="s">
        <v>48</v>
      </c>
      <c r="E64" t="s">
        <v>54</v>
      </c>
      <c r="F64">
        <v>13330.88</v>
      </c>
    </row>
    <row r="65" spans="1:6" x14ac:dyDescent="0.3">
      <c r="A65">
        <v>2023</v>
      </c>
      <c r="B65">
        <v>1</v>
      </c>
      <c r="C65" t="s">
        <v>37</v>
      </c>
      <c r="D65" t="s">
        <v>48</v>
      </c>
      <c r="E65" t="s">
        <v>55</v>
      </c>
      <c r="F65">
        <v>85219.63</v>
      </c>
    </row>
    <row r="66" spans="1:6" x14ac:dyDescent="0.3">
      <c r="A66">
        <v>2023</v>
      </c>
      <c r="B66">
        <v>1</v>
      </c>
      <c r="C66" t="s">
        <v>40</v>
      </c>
      <c r="D66" t="s">
        <v>48</v>
      </c>
      <c r="E66" t="s">
        <v>55</v>
      </c>
      <c r="F66">
        <v>90198.83</v>
      </c>
    </row>
    <row r="67" spans="1:6" x14ac:dyDescent="0.3">
      <c r="A67">
        <v>2023</v>
      </c>
      <c r="B67">
        <v>1</v>
      </c>
      <c r="C67" t="s">
        <v>41</v>
      </c>
      <c r="D67" t="s">
        <v>48</v>
      </c>
      <c r="E67" t="s">
        <v>55</v>
      </c>
      <c r="F67">
        <v>73332.160000000003</v>
      </c>
    </row>
    <row r="68" spans="1:6" x14ac:dyDescent="0.3">
      <c r="A68">
        <v>2023</v>
      </c>
      <c r="B68">
        <v>1</v>
      </c>
      <c r="C68" t="s">
        <v>42</v>
      </c>
      <c r="D68" t="s">
        <v>48</v>
      </c>
      <c r="E68" t="s">
        <v>55</v>
      </c>
      <c r="F68">
        <v>65618.100000000006</v>
      </c>
    </row>
    <row r="69" spans="1:6" x14ac:dyDescent="0.3">
      <c r="A69">
        <v>2023</v>
      </c>
      <c r="B69">
        <v>1</v>
      </c>
      <c r="C69" t="s">
        <v>43</v>
      </c>
      <c r="D69" t="s">
        <v>48</v>
      </c>
      <c r="E69" t="s">
        <v>55</v>
      </c>
      <c r="F69">
        <v>12131.68</v>
      </c>
    </row>
    <row r="70" spans="1:6" x14ac:dyDescent="0.3">
      <c r="A70">
        <v>2023</v>
      </c>
      <c r="B70">
        <v>1</v>
      </c>
      <c r="C70" t="s">
        <v>44</v>
      </c>
      <c r="D70" t="s">
        <v>48</v>
      </c>
      <c r="E70" t="s">
        <v>55</v>
      </c>
      <c r="F70">
        <v>112326.88</v>
      </c>
    </row>
    <row r="71" spans="1:6" x14ac:dyDescent="0.3">
      <c r="A71">
        <v>2023</v>
      </c>
      <c r="B71">
        <v>1</v>
      </c>
      <c r="C71" t="s">
        <v>45</v>
      </c>
      <c r="D71" t="s">
        <v>48</v>
      </c>
      <c r="E71" t="s">
        <v>55</v>
      </c>
      <c r="F71">
        <v>17360.07</v>
      </c>
    </row>
    <row r="72" spans="1:6" x14ac:dyDescent="0.3">
      <c r="A72">
        <v>2023</v>
      </c>
      <c r="B72">
        <v>1</v>
      </c>
      <c r="C72" t="s">
        <v>37</v>
      </c>
      <c r="D72" t="s">
        <v>48</v>
      </c>
      <c r="E72" t="s">
        <v>56</v>
      </c>
      <c r="F72">
        <v>120328.66</v>
      </c>
    </row>
    <row r="73" spans="1:6" x14ac:dyDescent="0.3">
      <c r="A73">
        <v>2023</v>
      </c>
      <c r="B73">
        <v>1</v>
      </c>
      <c r="C73" t="s">
        <v>40</v>
      </c>
      <c r="D73" t="s">
        <v>48</v>
      </c>
      <c r="E73" t="s">
        <v>56</v>
      </c>
      <c r="F73">
        <v>37096.43</v>
      </c>
    </row>
    <row r="74" spans="1:6" x14ac:dyDescent="0.3">
      <c r="A74">
        <v>2023</v>
      </c>
      <c r="B74">
        <v>1</v>
      </c>
      <c r="C74" t="s">
        <v>41</v>
      </c>
      <c r="D74" t="s">
        <v>48</v>
      </c>
      <c r="E74" t="s">
        <v>56</v>
      </c>
      <c r="F74">
        <v>68994.710000000006</v>
      </c>
    </row>
    <row r="75" spans="1:6" x14ac:dyDescent="0.3">
      <c r="A75">
        <v>2023</v>
      </c>
      <c r="B75">
        <v>1</v>
      </c>
      <c r="C75" t="s">
        <v>42</v>
      </c>
      <c r="D75" t="s">
        <v>48</v>
      </c>
      <c r="E75" t="s">
        <v>56</v>
      </c>
      <c r="F75">
        <v>83559.240000000005</v>
      </c>
    </row>
    <row r="76" spans="1:6" x14ac:dyDescent="0.3">
      <c r="A76">
        <v>2023</v>
      </c>
      <c r="B76">
        <v>1</v>
      </c>
      <c r="C76" t="s">
        <v>43</v>
      </c>
      <c r="D76" t="s">
        <v>48</v>
      </c>
      <c r="E76" t="s">
        <v>56</v>
      </c>
      <c r="F76">
        <v>103269.44</v>
      </c>
    </row>
    <row r="77" spans="1:6" x14ac:dyDescent="0.3">
      <c r="A77">
        <v>2023</v>
      </c>
      <c r="B77">
        <v>1</v>
      </c>
      <c r="C77" t="s">
        <v>44</v>
      </c>
      <c r="D77" t="s">
        <v>48</v>
      </c>
      <c r="E77" t="s">
        <v>56</v>
      </c>
      <c r="F77">
        <v>40343.64</v>
      </c>
    </row>
    <row r="78" spans="1:6" x14ac:dyDescent="0.3">
      <c r="A78">
        <v>2023</v>
      </c>
      <c r="B78">
        <v>1</v>
      </c>
      <c r="C78" t="s">
        <v>45</v>
      </c>
      <c r="D78" t="s">
        <v>48</v>
      </c>
      <c r="E78" t="s">
        <v>56</v>
      </c>
      <c r="F78">
        <v>44976.160000000003</v>
      </c>
    </row>
    <row r="79" spans="1:6" x14ac:dyDescent="0.3">
      <c r="A79">
        <v>2023</v>
      </c>
      <c r="B79">
        <v>1</v>
      </c>
      <c r="C79" t="s">
        <v>37</v>
      </c>
      <c r="D79" t="s">
        <v>57</v>
      </c>
      <c r="E79" t="s">
        <v>58</v>
      </c>
      <c r="F79">
        <v>95428.6</v>
      </c>
    </row>
    <row r="80" spans="1:6" x14ac:dyDescent="0.3">
      <c r="A80">
        <v>2023</v>
      </c>
      <c r="B80">
        <v>1</v>
      </c>
      <c r="C80" t="s">
        <v>37</v>
      </c>
      <c r="D80" t="s">
        <v>57</v>
      </c>
      <c r="E80" t="s">
        <v>59</v>
      </c>
      <c r="F80">
        <v>171666.68</v>
      </c>
    </row>
    <row r="81" spans="1:6" x14ac:dyDescent="0.3">
      <c r="A81">
        <v>2023</v>
      </c>
      <c r="B81">
        <v>1</v>
      </c>
      <c r="C81" t="s">
        <v>37</v>
      </c>
      <c r="D81" t="s">
        <v>57</v>
      </c>
      <c r="E81" t="s">
        <v>60</v>
      </c>
      <c r="F81">
        <v>50804.95</v>
      </c>
    </row>
    <row r="82" spans="1:6" x14ac:dyDescent="0.3">
      <c r="A82">
        <v>2023</v>
      </c>
      <c r="B82">
        <v>2</v>
      </c>
      <c r="C82" t="s">
        <v>37</v>
      </c>
      <c r="D82" t="s">
        <v>38</v>
      </c>
      <c r="E82" t="s">
        <v>39</v>
      </c>
      <c r="F82">
        <v>34967.599999999999</v>
      </c>
    </row>
    <row r="83" spans="1:6" x14ac:dyDescent="0.3">
      <c r="A83">
        <v>2023</v>
      </c>
      <c r="B83">
        <v>2</v>
      </c>
      <c r="C83" t="s">
        <v>40</v>
      </c>
      <c r="D83" t="s">
        <v>38</v>
      </c>
      <c r="E83" t="s">
        <v>39</v>
      </c>
      <c r="F83">
        <v>13959.07</v>
      </c>
    </row>
    <row r="84" spans="1:6" x14ac:dyDescent="0.3">
      <c r="A84">
        <v>2023</v>
      </c>
      <c r="B84">
        <v>2</v>
      </c>
      <c r="C84" t="s">
        <v>41</v>
      </c>
      <c r="D84" t="s">
        <v>38</v>
      </c>
      <c r="E84" t="s">
        <v>39</v>
      </c>
      <c r="F84">
        <v>100312.42</v>
      </c>
    </row>
    <row r="85" spans="1:6" x14ac:dyDescent="0.3">
      <c r="A85">
        <v>2023</v>
      </c>
      <c r="B85">
        <v>2</v>
      </c>
      <c r="C85" t="s">
        <v>42</v>
      </c>
      <c r="D85" t="s">
        <v>38</v>
      </c>
      <c r="E85" t="s">
        <v>39</v>
      </c>
      <c r="F85">
        <v>80891.45</v>
      </c>
    </row>
    <row r="86" spans="1:6" x14ac:dyDescent="0.3">
      <c r="A86">
        <v>2023</v>
      </c>
      <c r="B86">
        <v>2</v>
      </c>
      <c r="C86" t="s">
        <v>43</v>
      </c>
      <c r="D86" t="s">
        <v>38</v>
      </c>
      <c r="E86" t="s">
        <v>39</v>
      </c>
      <c r="F86">
        <v>82912.7</v>
      </c>
    </row>
    <row r="87" spans="1:6" x14ac:dyDescent="0.3">
      <c r="A87">
        <v>2023</v>
      </c>
      <c r="B87">
        <v>2</v>
      </c>
      <c r="C87" t="s">
        <v>44</v>
      </c>
      <c r="D87" t="s">
        <v>38</v>
      </c>
      <c r="E87" t="s">
        <v>39</v>
      </c>
      <c r="F87">
        <v>147907.70000000001</v>
      </c>
    </row>
    <row r="88" spans="1:6" x14ac:dyDescent="0.3">
      <c r="A88">
        <v>2023</v>
      </c>
      <c r="B88">
        <v>2</v>
      </c>
      <c r="C88" t="s">
        <v>45</v>
      </c>
      <c r="D88" t="s">
        <v>38</v>
      </c>
      <c r="E88" t="s">
        <v>39</v>
      </c>
      <c r="F88">
        <v>87848.27</v>
      </c>
    </row>
    <row r="89" spans="1:6" x14ac:dyDescent="0.3">
      <c r="A89">
        <v>2023</v>
      </c>
      <c r="B89">
        <v>2</v>
      </c>
      <c r="C89" t="s">
        <v>37</v>
      </c>
      <c r="D89" t="s">
        <v>38</v>
      </c>
      <c r="E89" t="s">
        <v>46</v>
      </c>
      <c r="F89">
        <v>53884.52</v>
      </c>
    </row>
    <row r="90" spans="1:6" x14ac:dyDescent="0.3">
      <c r="A90">
        <v>2023</v>
      </c>
      <c r="B90">
        <v>2</v>
      </c>
      <c r="C90" t="s">
        <v>40</v>
      </c>
      <c r="D90" t="s">
        <v>38</v>
      </c>
      <c r="E90" t="s">
        <v>46</v>
      </c>
      <c r="F90">
        <v>114910.26</v>
      </c>
    </row>
    <row r="91" spans="1:6" x14ac:dyDescent="0.3">
      <c r="A91">
        <v>2023</v>
      </c>
      <c r="B91">
        <v>2</v>
      </c>
      <c r="C91" t="s">
        <v>41</v>
      </c>
      <c r="D91" t="s">
        <v>38</v>
      </c>
      <c r="E91" t="s">
        <v>46</v>
      </c>
      <c r="F91">
        <v>56629.36</v>
      </c>
    </row>
    <row r="92" spans="1:6" x14ac:dyDescent="0.3">
      <c r="A92">
        <v>2023</v>
      </c>
      <c r="B92">
        <v>2</v>
      </c>
      <c r="C92" t="s">
        <v>42</v>
      </c>
      <c r="D92" t="s">
        <v>38</v>
      </c>
      <c r="E92" t="s">
        <v>46</v>
      </c>
      <c r="F92">
        <v>93142.06</v>
      </c>
    </row>
    <row r="93" spans="1:6" x14ac:dyDescent="0.3">
      <c r="A93">
        <v>2023</v>
      </c>
      <c r="B93">
        <v>2</v>
      </c>
      <c r="C93" t="s">
        <v>43</v>
      </c>
      <c r="D93" t="s">
        <v>38</v>
      </c>
      <c r="E93" t="s">
        <v>46</v>
      </c>
      <c r="F93">
        <v>40570.550000000003</v>
      </c>
    </row>
    <row r="94" spans="1:6" x14ac:dyDescent="0.3">
      <c r="A94">
        <v>2023</v>
      </c>
      <c r="B94">
        <v>2</v>
      </c>
      <c r="C94" t="s">
        <v>44</v>
      </c>
      <c r="D94" t="s">
        <v>38</v>
      </c>
      <c r="E94" t="s">
        <v>46</v>
      </c>
      <c r="F94">
        <v>14825.86</v>
      </c>
    </row>
    <row r="95" spans="1:6" x14ac:dyDescent="0.3">
      <c r="A95">
        <v>2023</v>
      </c>
      <c r="B95">
        <v>2</v>
      </c>
      <c r="C95" t="s">
        <v>45</v>
      </c>
      <c r="D95" t="s">
        <v>38</v>
      </c>
      <c r="E95" t="s">
        <v>46</v>
      </c>
      <c r="F95">
        <v>43803.61</v>
      </c>
    </row>
    <row r="96" spans="1:6" x14ac:dyDescent="0.3">
      <c r="A96">
        <v>2023</v>
      </c>
      <c r="B96">
        <v>2</v>
      </c>
      <c r="C96" t="s">
        <v>37</v>
      </c>
      <c r="D96" t="s">
        <v>38</v>
      </c>
      <c r="E96" t="s">
        <v>47</v>
      </c>
      <c r="F96">
        <v>101004.16</v>
      </c>
    </row>
    <row r="97" spans="1:6" x14ac:dyDescent="0.3">
      <c r="A97">
        <v>2023</v>
      </c>
      <c r="B97">
        <v>2</v>
      </c>
      <c r="C97" t="s">
        <v>40</v>
      </c>
      <c r="D97" t="s">
        <v>38</v>
      </c>
      <c r="E97" t="s">
        <v>47</v>
      </c>
      <c r="F97">
        <v>53312.59</v>
      </c>
    </row>
    <row r="98" spans="1:6" x14ac:dyDescent="0.3">
      <c r="A98">
        <v>2023</v>
      </c>
      <c r="B98">
        <v>2</v>
      </c>
      <c r="C98" t="s">
        <v>41</v>
      </c>
      <c r="D98" t="s">
        <v>38</v>
      </c>
      <c r="E98" t="s">
        <v>47</v>
      </c>
      <c r="F98">
        <v>107404.22</v>
      </c>
    </row>
    <row r="99" spans="1:6" x14ac:dyDescent="0.3">
      <c r="A99">
        <v>2023</v>
      </c>
      <c r="B99">
        <v>2</v>
      </c>
      <c r="C99" t="s">
        <v>42</v>
      </c>
      <c r="D99" t="s">
        <v>38</v>
      </c>
      <c r="E99" t="s">
        <v>47</v>
      </c>
      <c r="F99">
        <v>33916.31</v>
      </c>
    </row>
    <row r="100" spans="1:6" x14ac:dyDescent="0.3">
      <c r="A100">
        <v>2023</v>
      </c>
      <c r="B100">
        <v>2</v>
      </c>
      <c r="C100" t="s">
        <v>43</v>
      </c>
      <c r="D100" t="s">
        <v>38</v>
      </c>
      <c r="E100" t="s">
        <v>47</v>
      </c>
      <c r="F100">
        <v>36661.550000000003</v>
      </c>
    </row>
    <row r="101" spans="1:6" x14ac:dyDescent="0.3">
      <c r="A101">
        <v>2023</v>
      </c>
      <c r="B101">
        <v>2</v>
      </c>
      <c r="C101" t="s">
        <v>44</v>
      </c>
      <c r="D101" t="s">
        <v>38</v>
      </c>
      <c r="E101" t="s">
        <v>47</v>
      </c>
      <c r="F101">
        <v>60515.46</v>
      </c>
    </row>
    <row r="102" spans="1:6" x14ac:dyDescent="0.3">
      <c r="A102">
        <v>2023</v>
      </c>
      <c r="B102">
        <v>2</v>
      </c>
      <c r="C102" t="s">
        <v>45</v>
      </c>
      <c r="D102" t="s">
        <v>38</v>
      </c>
      <c r="E102" t="s">
        <v>47</v>
      </c>
      <c r="F102">
        <v>41982.12</v>
      </c>
    </row>
    <row r="103" spans="1:6" x14ac:dyDescent="0.3">
      <c r="A103">
        <v>2023</v>
      </c>
      <c r="B103">
        <v>2</v>
      </c>
      <c r="C103" t="s">
        <v>37</v>
      </c>
      <c r="D103" t="s">
        <v>48</v>
      </c>
      <c r="E103" t="s">
        <v>49</v>
      </c>
      <c r="F103">
        <v>56424.97</v>
      </c>
    </row>
    <row r="104" spans="1:6" x14ac:dyDescent="0.3">
      <c r="A104">
        <v>2023</v>
      </c>
      <c r="B104">
        <v>2</v>
      </c>
      <c r="C104" t="s">
        <v>40</v>
      </c>
      <c r="D104" t="s">
        <v>48</v>
      </c>
      <c r="E104" t="s">
        <v>49</v>
      </c>
      <c r="F104">
        <v>47114.96</v>
      </c>
    </row>
    <row r="105" spans="1:6" x14ac:dyDescent="0.3">
      <c r="A105">
        <v>2023</v>
      </c>
      <c r="B105">
        <v>2</v>
      </c>
      <c r="C105" t="s">
        <v>41</v>
      </c>
      <c r="D105" t="s">
        <v>48</v>
      </c>
      <c r="E105" t="s">
        <v>49</v>
      </c>
      <c r="F105">
        <v>14006.03</v>
      </c>
    </row>
    <row r="106" spans="1:6" x14ac:dyDescent="0.3">
      <c r="A106">
        <v>2023</v>
      </c>
      <c r="B106">
        <v>2</v>
      </c>
      <c r="C106" t="s">
        <v>42</v>
      </c>
      <c r="D106" t="s">
        <v>48</v>
      </c>
      <c r="E106" t="s">
        <v>49</v>
      </c>
      <c r="F106">
        <v>71635.77</v>
      </c>
    </row>
    <row r="107" spans="1:6" x14ac:dyDescent="0.3">
      <c r="A107">
        <v>2023</v>
      </c>
      <c r="B107">
        <v>2</v>
      </c>
      <c r="C107" t="s">
        <v>43</v>
      </c>
      <c r="D107" t="s">
        <v>48</v>
      </c>
      <c r="E107" t="s">
        <v>49</v>
      </c>
      <c r="F107">
        <v>136216.43</v>
      </c>
    </row>
    <row r="108" spans="1:6" x14ac:dyDescent="0.3">
      <c r="A108">
        <v>2023</v>
      </c>
      <c r="B108">
        <v>2</v>
      </c>
      <c r="C108" t="s">
        <v>44</v>
      </c>
      <c r="D108" t="s">
        <v>48</v>
      </c>
      <c r="E108" t="s">
        <v>49</v>
      </c>
      <c r="F108">
        <v>76232.7</v>
      </c>
    </row>
    <row r="109" spans="1:6" x14ac:dyDescent="0.3">
      <c r="A109">
        <v>2023</v>
      </c>
      <c r="B109">
        <v>2</v>
      </c>
      <c r="C109" t="s">
        <v>45</v>
      </c>
      <c r="D109" t="s">
        <v>48</v>
      </c>
      <c r="E109" t="s">
        <v>49</v>
      </c>
      <c r="F109">
        <v>27274.54</v>
      </c>
    </row>
    <row r="110" spans="1:6" x14ac:dyDescent="0.3">
      <c r="A110">
        <v>2023</v>
      </c>
      <c r="B110">
        <v>2</v>
      </c>
      <c r="C110" t="s">
        <v>37</v>
      </c>
      <c r="D110" t="s">
        <v>48</v>
      </c>
      <c r="E110" t="s">
        <v>50</v>
      </c>
      <c r="F110">
        <v>66100.990000000005</v>
      </c>
    </row>
    <row r="111" spans="1:6" x14ac:dyDescent="0.3">
      <c r="A111">
        <v>2023</v>
      </c>
      <c r="B111">
        <v>2</v>
      </c>
      <c r="C111" t="s">
        <v>40</v>
      </c>
      <c r="D111" t="s">
        <v>48</v>
      </c>
      <c r="E111" t="s">
        <v>50</v>
      </c>
      <c r="F111">
        <v>24336.87</v>
      </c>
    </row>
    <row r="112" spans="1:6" x14ac:dyDescent="0.3">
      <c r="A112">
        <v>2023</v>
      </c>
      <c r="B112">
        <v>2</v>
      </c>
      <c r="C112" t="s">
        <v>41</v>
      </c>
      <c r="D112" t="s">
        <v>48</v>
      </c>
      <c r="E112" t="s">
        <v>50</v>
      </c>
      <c r="F112">
        <v>81327.600000000006</v>
      </c>
    </row>
    <row r="113" spans="1:6" x14ac:dyDescent="0.3">
      <c r="A113">
        <v>2023</v>
      </c>
      <c r="B113">
        <v>2</v>
      </c>
      <c r="C113" t="s">
        <v>42</v>
      </c>
      <c r="D113" t="s">
        <v>48</v>
      </c>
      <c r="E113" t="s">
        <v>50</v>
      </c>
      <c r="F113">
        <v>44757.22</v>
      </c>
    </row>
    <row r="114" spans="1:6" x14ac:dyDescent="0.3">
      <c r="A114">
        <v>2023</v>
      </c>
      <c r="B114">
        <v>2</v>
      </c>
      <c r="C114" t="s">
        <v>43</v>
      </c>
      <c r="D114" t="s">
        <v>48</v>
      </c>
      <c r="E114" t="s">
        <v>50</v>
      </c>
      <c r="F114">
        <v>45421.64</v>
      </c>
    </row>
    <row r="115" spans="1:6" x14ac:dyDescent="0.3">
      <c r="A115">
        <v>2023</v>
      </c>
      <c r="B115">
        <v>2</v>
      </c>
      <c r="C115" t="s">
        <v>44</v>
      </c>
      <c r="D115" t="s">
        <v>48</v>
      </c>
      <c r="E115" t="s">
        <v>50</v>
      </c>
      <c r="F115">
        <v>84390.24</v>
      </c>
    </row>
    <row r="116" spans="1:6" x14ac:dyDescent="0.3">
      <c r="A116">
        <v>2023</v>
      </c>
      <c r="B116">
        <v>2</v>
      </c>
      <c r="C116" t="s">
        <v>45</v>
      </c>
      <c r="D116" t="s">
        <v>48</v>
      </c>
      <c r="E116" t="s">
        <v>50</v>
      </c>
      <c r="F116">
        <v>9423.7999999999993</v>
      </c>
    </row>
    <row r="117" spans="1:6" x14ac:dyDescent="0.3">
      <c r="A117">
        <v>2023</v>
      </c>
      <c r="B117">
        <v>2</v>
      </c>
      <c r="C117" t="s">
        <v>37</v>
      </c>
      <c r="D117" t="s">
        <v>48</v>
      </c>
      <c r="E117" t="s">
        <v>51</v>
      </c>
      <c r="F117">
        <v>94466.89</v>
      </c>
    </row>
    <row r="118" spans="1:6" x14ac:dyDescent="0.3">
      <c r="A118">
        <v>2023</v>
      </c>
      <c r="B118">
        <v>2</v>
      </c>
      <c r="C118" t="s">
        <v>40</v>
      </c>
      <c r="D118" t="s">
        <v>48</v>
      </c>
      <c r="E118" t="s">
        <v>51</v>
      </c>
      <c r="F118">
        <v>18355.48</v>
      </c>
    </row>
    <row r="119" spans="1:6" x14ac:dyDescent="0.3">
      <c r="A119">
        <v>2023</v>
      </c>
      <c r="B119">
        <v>2</v>
      </c>
      <c r="C119" t="s">
        <v>41</v>
      </c>
      <c r="D119" t="s">
        <v>48</v>
      </c>
      <c r="E119" t="s">
        <v>51</v>
      </c>
      <c r="F119">
        <v>17343.2</v>
      </c>
    </row>
    <row r="120" spans="1:6" x14ac:dyDescent="0.3">
      <c r="A120">
        <v>2023</v>
      </c>
      <c r="B120">
        <v>2</v>
      </c>
      <c r="C120" t="s">
        <v>42</v>
      </c>
      <c r="D120" t="s">
        <v>48</v>
      </c>
      <c r="E120" t="s">
        <v>51</v>
      </c>
      <c r="F120">
        <v>106412.3</v>
      </c>
    </row>
    <row r="121" spans="1:6" x14ac:dyDescent="0.3">
      <c r="A121">
        <v>2023</v>
      </c>
      <c r="B121">
        <v>2</v>
      </c>
      <c r="C121" t="s">
        <v>43</v>
      </c>
      <c r="D121" t="s">
        <v>48</v>
      </c>
      <c r="E121" t="s">
        <v>51</v>
      </c>
      <c r="F121">
        <v>49524.160000000003</v>
      </c>
    </row>
    <row r="122" spans="1:6" x14ac:dyDescent="0.3">
      <c r="A122">
        <v>2023</v>
      </c>
      <c r="B122">
        <v>2</v>
      </c>
      <c r="C122" t="s">
        <v>44</v>
      </c>
      <c r="D122" t="s">
        <v>48</v>
      </c>
      <c r="E122" t="s">
        <v>51</v>
      </c>
      <c r="F122">
        <v>18093.72</v>
      </c>
    </row>
    <row r="123" spans="1:6" x14ac:dyDescent="0.3">
      <c r="A123">
        <v>2023</v>
      </c>
      <c r="B123">
        <v>2</v>
      </c>
      <c r="C123" t="s">
        <v>45</v>
      </c>
      <c r="D123" t="s">
        <v>48</v>
      </c>
      <c r="E123" t="s">
        <v>51</v>
      </c>
      <c r="F123">
        <v>21966.97</v>
      </c>
    </row>
    <row r="124" spans="1:6" x14ac:dyDescent="0.3">
      <c r="A124">
        <v>2023</v>
      </c>
      <c r="B124">
        <v>2</v>
      </c>
      <c r="C124" t="s">
        <v>37</v>
      </c>
      <c r="D124" t="s">
        <v>48</v>
      </c>
      <c r="E124" t="s">
        <v>52</v>
      </c>
      <c r="F124">
        <v>24571.79</v>
      </c>
    </row>
    <row r="125" spans="1:6" x14ac:dyDescent="0.3">
      <c r="A125">
        <v>2023</v>
      </c>
      <c r="B125">
        <v>2</v>
      </c>
      <c r="C125" t="s">
        <v>40</v>
      </c>
      <c r="D125" t="s">
        <v>48</v>
      </c>
      <c r="E125" t="s">
        <v>52</v>
      </c>
      <c r="F125">
        <v>58586.400000000001</v>
      </c>
    </row>
    <row r="126" spans="1:6" x14ac:dyDescent="0.3">
      <c r="A126">
        <v>2023</v>
      </c>
      <c r="B126">
        <v>2</v>
      </c>
      <c r="C126" t="s">
        <v>41</v>
      </c>
      <c r="D126" t="s">
        <v>48</v>
      </c>
      <c r="E126" t="s">
        <v>52</v>
      </c>
      <c r="F126">
        <v>18792.77</v>
      </c>
    </row>
    <row r="127" spans="1:6" x14ac:dyDescent="0.3">
      <c r="A127">
        <v>2023</v>
      </c>
      <c r="B127">
        <v>2</v>
      </c>
      <c r="C127" t="s">
        <v>42</v>
      </c>
      <c r="D127" t="s">
        <v>48</v>
      </c>
      <c r="E127" t="s">
        <v>52</v>
      </c>
      <c r="F127">
        <v>126039.03999999999</v>
      </c>
    </row>
    <row r="128" spans="1:6" x14ac:dyDescent="0.3">
      <c r="A128">
        <v>2023</v>
      </c>
      <c r="B128">
        <v>2</v>
      </c>
      <c r="C128" t="s">
        <v>43</v>
      </c>
      <c r="D128" t="s">
        <v>48</v>
      </c>
      <c r="E128" t="s">
        <v>52</v>
      </c>
      <c r="F128">
        <v>143180.76999999999</v>
      </c>
    </row>
    <row r="129" spans="1:6" x14ac:dyDescent="0.3">
      <c r="A129">
        <v>2023</v>
      </c>
      <c r="B129">
        <v>2</v>
      </c>
      <c r="C129" t="s">
        <v>44</v>
      </c>
      <c r="D129" t="s">
        <v>48</v>
      </c>
      <c r="E129" t="s">
        <v>52</v>
      </c>
      <c r="F129">
        <v>98032.37</v>
      </c>
    </row>
    <row r="130" spans="1:6" x14ac:dyDescent="0.3">
      <c r="A130">
        <v>2023</v>
      </c>
      <c r="B130">
        <v>2</v>
      </c>
      <c r="C130" t="s">
        <v>45</v>
      </c>
      <c r="D130" t="s">
        <v>48</v>
      </c>
      <c r="E130" t="s">
        <v>52</v>
      </c>
      <c r="F130">
        <v>109028.4</v>
      </c>
    </row>
    <row r="131" spans="1:6" x14ac:dyDescent="0.3">
      <c r="A131">
        <v>2023</v>
      </c>
      <c r="B131">
        <v>2</v>
      </c>
      <c r="C131" t="s">
        <v>37</v>
      </c>
      <c r="D131" t="s">
        <v>48</v>
      </c>
      <c r="E131" t="s">
        <v>53</v>
      </c>
      <c r="F131">
        <v>56811.28</v>
      </c>
    </row>
    <row r="132" spans="1:6" x14ac:dyDescent="0.3">
      <c r="A132">
        <v>2023</v>
      </c>
      <c r="B132">
        <v>2</v>
      </c>
      <c r="C132" t="s">
        <v>40</v>
      </c>
      <c r="D132" t="s">
        <v>48</v>
      </c>
      <c r="E132" t="s">
        <v>53</v>
      </c>
      <c r="F132">
        <v>72428.460000000006</v>
      </c>
    </row>
    <row r="133" spans="1:6" x14ac:dyDescent="0.3">
      <c r="A133">
        <v>2023</v>
      </c>
      <c r="B133">
        <v>2</v>
      </c>
      <c r="C133" t="s">
        <v>41</v>
      </c>
      <c r="D133" t="s">
        <v>48</v>
      </c>
      <c r="E133" t="s">
        <v>53</v>
      </c>
      <c r="F133">
        <v>13322.91</v>
      </c>
    </row>
    <row r="134" spans="1:6" x14ac:dyDescent="0.3">
      <c r="A134">
        <v>2023</v>
      </c>
      <c r="B134">
        <v>2</v>
      </c>
      <c r="C134" t="s">
        <v>42</v>
      </c>
      <c r="D134" t="s">
        <v>48</v>
      </c>
      <c r="E134" t="s">
        <v>53</v>
      </c>
      <c r="F134">
        <v>25423.55</v>
      </c>
    </row>
    <row r="135" spans="1:6" x14ac:dyDescent="0.3">
      <c r="A135">
        <v>2023</v>
      </c>
      <c r="B135">
        <v>2</v>
      </c>
      <c r="C135" t="s">
        <v>43</v>
      </c>
      <c r="D135" t="s">
        <v>48</v>
      </c>
      <c r="E135" t="s">
        <v>53</v>
      </c>
      <c r="F135">
        <v>65786.98</v>
      </c>
    </row>
    <row r="136" spans="1:6" x14ac:dyDescent="0.3">
      <c r="A136">
        <v>2023</v>
      </c>
      <c r="B136">
        <v>2</v>
      </c>
      <c r="C136" t="s">
        <v>44</v>
      </c>
      <c r="D136" t="s">
        <v>48</v>
      </c>
      <c r="E136" t="s">
        <v>53</v>
      </c>
      <c r="F136">
        <v>40829.660000000003</v>
      </c>
    </row>
    <row r="137" spans="1:6" x14ac:dyDescent="0.3">
      <c r="A137">
        <v>2023</v>
      </c>
      <c r="B137">
        <v>2</v>
      </c>
      <c r="C137" t="s">
        <v>45</v>
      </c>
      <c r="D137" t="s">
        <v>48</v>
      </c>
      <c r="E137" t="s">
        <v>53</v>
      </c>
      <c r="F137">
        <v>49587.67</v>
      </c>
    </row>
    <row r="138" spans="1:6" x14ac:dyDescent="0.3">
      <c r="A138">
        <v>2023</v>
      </c>
      <c r="B138">
        <v>2</v>
      </c>
      <c r="C138" t="s">
        <v>37</v>
      </c>
      <c r="D138" t="s">
        <v>48</v>
      </c>
      <c r="E138" t="s">
        <v>54</v>
      </c>
      <c r="F138">
        <v>84314.65</v>
      </c>
    </row>
    <row r="139" spans="1:6" x14ac:dyDescent="0.3">
      <c r="A139">
        <v>2023</v>
      </c>
      <c r="B139">
        <v>2</v>
      </c>
      <c r="C139" t="s">
        <v>40</v>
      </c>
      <c r="D139" t="s">
        <v>48</v>
      </c>
      <c r="E139" t="s">
        <v>54</v>
      </c>
      <c r="F139">
        <v>104950.28</v>
      </c>
    </row>
    <row r="140" spans="1:6" x14ac:dyDescent="0.3">
      <c r="A140">
        <v>2023</v>
      </c>
      <c r="B140">
        <v>2</v>
      </c>
      <c r="C140" t="s">
        <v>41</v>
      </c>
      <c r="D140" t="s">
        <v>48</v>
      </c>
      <c r="E140" t="s">
        <v>54</v>
      </c>
      <c r="F140">
        <v>52955.98</v>
      </c>
    </row>
    <row r="141" spans="1:6" x14ac:dyDescent="0.3">
      <c r="A141">
        <v>2023</v>
      </c>
      <c r="B141">
        <v>2</v>
      </c>
      <c r="C141" t="s">
        <v>42</v>
      </c>
      <c r="D141" t="s">
        <v>48</v>
      </c>
      <c r="E141" t="s">
        <v>54</v>
      </c>
      <c r="F141">
        <v>43575.26</v>
      </c>
    </row>
    <row r="142" spans="1:6" x14ac:dyDescent="0.3">
      <c r="A142">
        <v>2023</v>
      </c>
      <c r="B142">
        <v>2</v>
      </c>
      <c r="C142" t="s">
        <v>43</v>
      </c>
      <c r="D142" t="s">
        <v>48</v>
      </c>
      <c r="E142" t="s">
        <v>54</v>
      </c>
      <c r="F142">
        <v>64782.5</v>
      </c>
    </row>
    <row r="143" spans="1:6" x14ac:dyDescent="0.3">
      <c r="A143">
        <v>2023</v>
      </c>
      <c r="B143">
        <v>2</v>
      </c>
      <c r="C143" t="s">
        <v>44</v>
      </c>
      <c r="D143" t="s">
        <v>48</v>
      </c>
      <c r="E143" t="s">
        <v>54</v>
      </c>
      <c r="F143">
        <v>61161.64</v>
      </c>
    </row>
    <row r="144" spans="1:6" x14ac:dyDescent="0.3">
      <c r="A144">
        <v>2023</v>
      </c>
      <c r="B144">
        <v>2</v>
      </c>
      <c r="C144" t="s">
        <v>45</v>
      </c>
      <c r="D144" t="s">
        <v>48</v>
      </c>
      <c r="E144" t="s">
        <v>54</v>
      </c>
      <c r="F144">
        <v>63629.29</v>
      </c>
    </row>
    <row r="145" spans="1:6" x14ac:dyDescent="0.3">
      <c r="A145">
        <v>2023</v>
      </c>
      <c r="B145">
        <v>2</v>
      </c>
      <c r="C145" t="s">
        <v>37</v>
      </c>
      <c r="D145" t="s">
        <v>48</v>
      </c>
      <c r="E145" t="s">
        <v>55</v>
      </c>
      <c r="F145">
        <v>101581.5</v>
      </c>
    </row>
    <row r="146" spans="1:6" x14ac:dyDescent="0.3">
      <c r="A146">
        <v>2023</v>
      </c>
      <c r="B146">
        <v>2</v>
      </c>
      <c r="C146" t="s">
        <v>40</v>
      </c>
      <c r="D146" t="s">
        <v>48</v>
      </c>
      <c r="E146" t="s">
        <v>55</v>
      </c>
      <c r="F146">
        <v>19525.03</v>
      </c>
    </row>
    <row r="147" spans="1:6" x14ac:dyDescent="0.3">
      <c r="A147">
        <v>2023</v>
      </c>
      <c r="B147">
        <v>2</v>
      </c>
      <c r="C147" t="s">
        <v>41</v>
      </c>
      <c r="D147" t="s">
        <v>48</v>
      </c>
      <c r="E147" t="s">
        <v>55</v>
      </c>
      <c r="F147">
        <v>59315</v>
      </c>
    </row>
    <row r="148" spans="1:6" x14ac:dyDescent="0.3">
      <c r="A148">
        <v>2023</v>
      </c>
      <c r="B148">
        <v>2</v>
      </c>
      <c r="C148" t="s">
        <v>42</v>
      </c>
      <c r="D148" t="s">
        <v>48</v>
      </c>
      <c r="E148" t="s">
        <v>55</v>
      </c>
      <c r="F148">
        <v>45672.6</v>
      </c>
    </row>
    <row r="149" spans="1:6" x14ac:dyDescent="0.3">
      <c r="A149">
        <v>2023</v>
      </c>
      <c r="B149">
        <v>2</v>
      </c>
      <c r="C149" t="s">
        <v>43</v>
      </c>
      <c r="D149" t="s">
        <v>48</v>
      </c>
      <c r="E149" t="s">
        <v>55</v>
      </c>
      <c r="F149">
        <v>124077.21</v>
      </c>
    </row>
    <row r="150" spans="1:6" x14ac:dyDescent="0.3">
      <c r="A150">
        <v>2023</v>
      </c>
      <c r="B150">
        <v>2</v>
      </c>
      <c r="C150" t="s">
        <v>44</v>
      </c>
      <c r="D150" t="s">
        <v>48</v>
      </c>
      <c r="E150" t="s">
        <v>55</v>
      </c>
      <c r="F150">
        <v>32295.64</v>
      </c>
    </row>
    <row r="151" spans="1:6" x14ac:dyDescent="0.3">
      <c r="A151">
        <v>2023</v>
      </c>
      <c r="B151">
        <v>2</v>
      </c>
      <c r="C151" t="s">
        <v>45</v>
      </c>
      <c r="D151" t="s">
        <v>48</v>
      </c>
      <c r="E151" t="s">
        <v>55</v>
      </c>
      <c r="F151">
        <v>116174.53</v>
      </c>
    </row>
    <row r="152" spans="1:6" x14ac:dyDescent="0.3">
      <c r="A152">
        <v>2023</v>
      </c>
      <c r="B152">
        <v>2</v>
      </c>
      <c r="C152" t="s">
        <v>37</v>
      </c>
      <c r="D152" t="s">
        <v>48</v>
      </c>
      <c r="E152" t="s">
        <v>56</v>
      </c>
      <c r="F152">
        <v>76148.27</v>
      </c>
    </row>
    <row r="153" spans="1:6" x14ac:dyDescent="0.3">
      <c r="A153">
        <v>2023</v>
      </c>
      <c r="B153">
        <v>2</v>
      </c>
      <c r="C153" t="s">
        <v>40</v>
      </c>
      <c r="D153" t="s">
        <v>48</v>
      </c>
      <c r="E153" t="s">
        <v>56</v>
      </c>
      <c r="F153">
        <v>83691.09</v>
      </c>
    </row>
    <row r="154" spans="1:6" x14ac:dyDescent="0.3">
      <c r="A154">
        <v>2023</v>
      </c>
      <c r="B154">
        <v>2</v>
      </c>
      <c r="C154" t="s">
        <v>41</v>
      </c>
      <c r="D154" t="s">
        <v>48</v>
      </c>
      <c r="E154" t="s">
        <v>56</v>
      </c>
      <c r="F154">
        <v>46651.15</v>
      </c>
    </row>
    <row r="155" spans="1:6" x14ac:dyDescent="0.3">
      <c r="A155">
        <v>2023</v>
      </c>
      <c r="B155">
        <v>2</v>
      </c>
      <c r="C155" t="s">
        <v>42</v>
      </c>
      <c r="D155" t="s">
        <v>48</v>
      </c>
      <c r="E155" t="s">
        <v>56</v>
      </c>
      <c r="F155">
        <v>79444.710000000006</v>
      </c>
    </row>
    <row r="156" spans="1:6" x14ac:dyDescent="0.3">
      <c r="A156">
        <v>2023</v>
      </c>
      <c r="B156">
        <v>2</v>
      </c>
      <c r="C156" t="s">
        <v>43</v>
      </c>
      <c r="D156" t="s">
        <v>48</v>
      </c>
      <c r="E156" t="s">
        <v>56</v>
      </c>
      <c r="F156">
        <v>77406.05</v>
      </c>
    </row>
    <row r="157" spans="1:6" x14ac:dyDescent="0.3">
      <c r="A157">
        <v>2023</v>
      </c>
      <c r="B157">
        <v>2</v>
      </c>
      <c r="C157" t="s">
        <v>44</v>
      </c>
      <c r="D157" t="s">
        <v>48</v>
      </c>
      <c r="E157" t="s">
        <v>56</v>
      </c>
      <c r="F157">
        <v>82084.92</v>
      </c>
    </row>
    <row r="158" spans="1:6" x14ac:dyDescent="0.3">
      <c r="A158">
        <v>2023</v>
      </c>
      <c r="B158">
        <v>2</v>
      </c>
      <c r="C158" t="s">
        <v>45</v>
      </c>
      <c r="D158" t="s">
        <v>48</v>
      </c>
      <c r="E158" t="s">
        <v>56</v>
      </c>
      <c r="F158">
        <v>28767.119999999999</v>
      </c>
    </row>
    <row r="159" spans="1:6" x14ac:dyDescent="0.3">
      <c r="A159">
        <v>2023</v>
      </c>
      <c r="B159">
        <v>2</v>
      </c>
      <c r="C159" t="s">
        <v>37</v>
      </c>
      <c r="D159" t="s">
        <v>57</v>
      </c>
      <c r="E159" t="s">
        <v>58</v>
      </c>
      <c r="F159">
        <v>138462.32999999999</v>
      </c>
    </row>
    <row r="160" spans="1:6" x14ac:dyDescent="0.3">
      <c r="A160">
        <v>2023</v>
      </c>
      <c r="B160">
        <v>2</v>
      </c>
      <c r="C160" t="s">
        <v>37</v>
      </c>
      <c r="D160" t="s">
        <v>57</v>
      </c>
      <c r="E160" t="s">
        <v>59</v>
      </c>
      <c r="F160">
        <v>90702.47</v>
      </c>
    </row>
    <row r="161" spans="1:6" x14ac:dyDescent="0.3">
      <c r="A161">
        <v>2023</v>
      </c>
      <c r="B161">
        <v>2</v>
      </c>
      <c r="C161" t="s">
        <v>37</v>
      </c>
      <c r="D161" t="s">
        <v>57</v>
      </c>
      <c r="E161" t="s">
        <v>60</v>
      </c>
      <c r="F161">
        <v>36560.410000000003</v>
      </c>
    </row>
    <row r="162" spans="1:6" x14ac:dyDescent="0.3">
      <c r="A162">
        <v>2023</v>
      </c>
      <c r="B162">
        <v>3</v>
      </c>
      <c r="C162" t="s">
        <v>37</v>
      </c>
      <c r="D162" t="s">
        <v>38</v>
      </c>
      <c r="E162" t="s">
        <v>39</v>
      </c>
      <c r="F162">
        <v>98565.52</v>
      </c>
    </row>
    <row r="163" spans="1:6" x14ac:dyDescent="0.3">
      <c r="A163">
        <v>2023</v>
      </c>
      <c r="B163">
        <v>3</v>
      </c>
      <c r="C163" t="s">
        <v>40</v>
      </c>
      <c r="D163" t="s">
        <v>38</v>
      </c>
      <c r="E163" t="s">
        <v>39</v>
      </c>
      <c r="F163">
        <v>91066.6</v>
      </c>
    </row>
    <row r="164" spans="1:6" x14ac:dyDescent="0.3">
      <c r="A164">
        <v>2023</v>
      </c>
      <c r="B164">
        <v>3</v>
      </c>
      <c r="C164" t="s">
        <v>41</v>
      </c>
      <c r="D164" t="s">
        <v>38</v>
      </c>
      <c r="E164" t="s">
        <v>39</v>
      </c>
      <c r="F164">
        <v>19883.150000000001</v>
      </c>
    </row>
    <row r="165" spans="1:6" x14ac:dyDescent="0.3">
      <c r="A165">
        <v>2023</v>
      </c>
      <c r="B165">
        <v>3</v>
      </c>
      <c r="C165" t="s">
        <v>42</v>
      </c>
      <c r="D165" t="s">
        <v>38</v>
      </c>
      <c r="E165" t="s">
        <v>39</v>
      </c>
      <c r="F165">
        <v>80258.27</v>
      </c>
    </row>
    <row r="166" spans="1:6" x14ac:dyDescent="0.3">
      <c r="A166">
        <v>2023</v>
      </c>
      <c r="B166">
        <v>3</v>
      </c>
      <c r="C166" t="s">
        <v>43</v>
      </c>
      <c r="D166" t="s">
        <v>38</v>
      </c>
      <c r="E166" t="s">
        <v>39</v>
      </c>
      <c r="F166">
        <v>88327.64</v>
      </c>
    </row>
    <row r="167" spans="1:6" x14ac:dyDescent="0.3">
      <c r="A167">
        <v>2023</v>
      </c>
      <c r="B167">
        <v>3</v>
      </c>
      <c r="C167" t="s">
        <v>44</v>
      </c>
      <c r="D167" t="s">
        <v>38</v>
      </c>
      <c r="E167" t="s">
        <v>39</v>
      </c>
      <c r="F167">
        <v>33895.440000000002</v>
      </c>
    </row>
    <row r="168" spans="1:6" x14ac:dyDescent="0.3">
      <c r="A168">
        <v>2023</v>
      </c>
      <c r="B168">
        <v>3</v>
      </c>
      <c r="C168" t="s">
        <v>45</v>
      </c>
      <c r="D168" t="s">
        <v>38</v>
      </c>
      <c r="E168" t="s">
        <v>39</v>
      </c>
      <c r="F168">
        <v>50577.2</v>
      </c>
    </row>
    <row r="169" spans="1:6" x14ac:dyDescent="0.3">
      <c r="A169">
        <v>2023</v>
      </c>
      <c r="B169">
        <v>3</v>
      </c>
      <c r="C169" t="s">
        <v>37</v>
      </c>
      <c r="D169" t="s">
        <v>38</v>
      </c>
      <c r="E169" t="s">
        <v>46</v>
      </c>
      <c r="F169">
        <v>17838.87</v>
      </c>
    </row>
    <row r="170" spans="1:6" x14ac:dyDescent="0.3">
      <c r="A170">
        <v>2023</v>
      </c>
      <c r="B170">
        <v>3</v>
      </c>
      <c r="C170" t="s">
        <v>40</v>
      </c>
      <c r="D170" t="s">
        <v>38</v>
      </c>
      <c r="E170" t="s">
        <v>46</v>
      </c>
      <c r="F170">
        <v>77277.83</v>
      </c>
    </row>
    <row r="171" spans="1:6" x14ac:dyDescent="0.3">
      <c r="A171">
        <v>2023</v>
      </c>
      <c r="B171">
        <v>3</v>
      </c>
      <c r="C171" t="s">
        <v>41</v>
      </c>
      <c r="D171" t="s">
        <v>38</v>
      </c>
      <c r="E171" t="s">
        <v>46</v>
      </c>
      <c r="F171">
        <v>102014.66</v>
      </c>
    </row>
    <row r="172" spans="1:6" x14ac:dyDescent="0.3">
      <c r="A172">
        <v>2023</v>
      </c>
      <c r="B172">
        <v>3</v>
      </c>
      <c r="C172" t="s">
        <v>42</v>
      </c>
      <c r="D172" t="s">
        <v>38</v>
      </c>
      <c r="E172" t="s">
        <v>46</v>
      </c>
      <c r="F172">
        <v>115100.89</v>
      </c>
    </row>
    <row r="173" spans="1:6" x14ac:dyDescent="0.3">
      <c r="A173">
        <v>2023</v>
      </c>
      <c r="B173">
        <v>3</v>
      </c>
      <c r="C173" t="s">
        <v>43</v>
      </c>
      <c r="D173" t="s">
        <v>38</v>
      </c>
      <c r="E173" t="s">
        <v>46</v>
      </c>
      <c r="F173">
        <v>108891.84</v>
      </c>
    </row>
    <row r="174" spans="1:6" x14ac:dyDescent="0.3">
      <c r="A174">
        <v>2023</v>
      </c>
      <c r="B174">
        <v>3</v>
      </c>
      <c r="C174" t="s">
        <v>44</v>
      </c>
      <c r="D174" t="s">
        <v>38</v>
      </c>
      <c r="E174" t="s">
        <v>46</v>
      </c>
      <c r="F174">
        <v>117299.9</v>
      </c>
    </row>
    <row r="175" spans="1:6" x14ac:dyDescent="0.3">
      <c r="A175">
        <v>2023</v>
      </c>
      <c r="B175">
        <v>3</v>
      </c>
      <c r="C175" t="s">
        <v>45</v>
      </c>
      <c r="D175" t="s">
        <v>38</v>
      </c>
      <c r="E175" t="s">
        <v>46</v>
      </c>
      <c r="F175">
        <v>83134.62</v>
      </c>
    </row>
    <row r="176" spans="1:6" x14ac:dyDescent="0.3">
      <c r="A176">
        <v>2023</v>
      </c>
      <c r="B176">
        <v>3</v>
      </c>
      <c r="C176" t="s">
        <v>37</v>
      </c>
      <c r="D176" t="s">
        <v>38</v>
      </c>
      <c r="E176" t="s">
        <v>47</v>
      </c>
      <c r="F176">
        <v>20115.490000000002</v>
      </c>
    </row>
    <row r="177" spans="1:6" x14ac:dyDescent="0.3">
      <c r="A177">
        <v>2023</v>
      </c>
      <c r="B177">
        <v>3</v>
      </c>
      <c r="C177" t="s">
        <v>40</v>
      </c>
      <c r="D177" t="s">
        <v>38</v>
      </c>
      <c r="E177" t="s">
        <v>47</v>
      </c>
      <c r="F177">
        <v>68835.64</v>
      </c>
    </row>
    <row r="178" spans="1:6" x14ac:dyDescent="0.3">
      <c r="A178">
        <v>2023</v>
      </c>
      <c r="B178">
        <v>3</v>
      </c>
      <c r="C178" t="s">
        <v>41</v>
      </c>
      <c r="D178" t="s">
        <v>38</v>
      </c>
      <c r="E178" t="s">
        <v>47</v>
      </c>
      <c r="F178">
        <v>88769.99</v>
      </c>
    </row>
    <row r="179" spans="1:6" x14ac:dyDescent="0.3">
      <c r="A179">
        <v>2023</v>
      </c>
      <c r="B179">
        <v>3</v>
      </c>
      <c r="C179" t="s">
        <v>42</v>
      </c>
      <c r="D179" t="s">
        <v>38</v>
      </c>
      <c r="E179" t="s">
        <v>47</v>
      </c>
      <c r="F179">
        <v>63533.46</v>
      </c>
    </row>
    <row r="180" spans="1:6" x14ac:dyDescent="0.3">
      <c r="A180">
        <v>2023</v>
      </c>
      <c r="B180">
        <v>3</v>
      </c>
      <c r="C180" t="s">
        <v>43</v>
      </c>
      <c r="D180" t="s">
        <v>38</v>
      </c>
      <c r="E180" t="s">
        <v>47</v>
      </c>
      <c r="F180">
        <v>57316.62</v>
      </c>
    </row>
    <row r="181" spans="1:6" x14ac:dyDescent="0.3">
      <c r="A181">
        <v>2023</v>
      </c>
      <c r="B181">
        <v>3</v>
      </c>
      <c r="C181" t="s">
        <v>44</v>
      </c>
      <c r="D181" t="s">
        <v>38</v>
      </c>
      <c r="E181" t="s">
        <v>47</v>
      </c>
      <c r="F181">
        <v>91027.91</v>
      </c>
    </row>
    <row r="182" spans="1:6" x14ac:dyDescent="0.3">
      <c r="A182">
        <v>2023</v>
      </c>
      <c r="B182">
        <v>3</v>
      </c>
      <c r="C182" t="s">
        <v>45</v>
      </c>
      <c r="D182" t="s">
        <v>38</v>
      </c>
      <c r="E182" t="s">
        <v>47</v>
      </c>
      <c r="F182">
        <v>87290.74</v>
      </c>
    </row>
    <row r="183" spans="1:6" x14ac:dyDescent="0.3">
      <c r="A183">
        <v>2023</v>
      </c>
      <c r="B183">
        <v>3</v>
      </c>
      <c r="C183" t="s">
        <v>37</v>
      </c>
      <c r="D183" t="s">
        <v>48</v>
      </c>
      <c r="E183" t="s">
        <v>49</v>
      </c>
      <c r="F183">
        <v>35022.17</v>
      </c>
    </row>
    <row r="184" spans="1:6" x14ac:dyDescent="0.3">
      <c r="A184">
        <v>2023</v>
      </c>
      <c r="B184">
        <v>3</v>
      </c>
      <c r="C184" t="s">
        <v>40</v>
      </c>
      <c r="D184" t="s">
        <v>48</v>
      </c>
      <c r="E184" t="s">
        <v>49</v>
      </c>
      <c r="F184">
        <v>133127.39000000001</v>
      </c>
    </row>
    <row r="185" spans="1:6" x14ac:dyDescent="0.3">
      <c r="A185">
        <v>2023</v>
      </c>
      <c r="B185">
        <v>3</v>
      </c>
      <c r="C185" t="s">
        <v>41</v>
      </c>
      <c r="D185" t="s">
        <v>48</v>
      </c>
      <c r="E185" t="s">
        <v>49</v>
      </c>
      <c r="F185">
        <v>94485.2</v>
      </c>
    </row>
    <row r="186" spans="1:6" x14ac:dyDescent="0.3">
      <c r="A186">
        <v>2023</v>
      </c>
      <c r="B186">
        <v>3</v>
      </c>
      <c r="C186" t="s">
        <v>42</v>
      </c>
      <c r="D186" t="s">
        <v>48</v>
      </c>
      <c r="E186" t="s">
        <v>49</v>
      </c>
      <c r="F186">
        <v>110622</v>
      </c>
    </row>
    <row r="187" spans="1:6" x14ac:dyDescent="0.3">
      <c r="A187">
        <v>2023</v>
      </c>
      <c r="B187">
        <v>3</v>
      </c>
      <c r="C187" t="s">
        <v>43</v>
      </c>
      <c r="D187" t="s">
        <v>48</v>
      </c>
      <c r="E187" t="s">
        <v>49</v>
      </c>
      <c r="F187">
        <v>102568.54</v>
      </c>
    </row>
    <row r="188" spans="1:6" x14ac:dyDescent="0.3">
      <c r="A188">
        <v>2023</v>
      </c>
      <c r="B188">
        <v>3</v>
      </c>
      <c r="C188" t="s">
        <v>44</v>
      </c>
      <c r="D188" t="s">
        <v>48</v>
      </c>
      <c r="E188" t="s">
        <v>49</v>
      </c>
      <c r="F188">
        <v>131942.54</v>
      </c>
    </row>
    <row r="189" spans="1:6" x14ac:dyDescent="0.3">
      <c r="A189">
        <v>2023</v>
      </c>
      <c r="B189">
        <v>3</v>
      </c>
      <c r="C189" t="s">
        <v>45</v>
      </c>
      <c r="D189" t="s">
        <v>48</v>
      </c>
      <c r="E189" t="s">
        <v>49</v>
      </c>
      <c r="F189">
        <v>137091.25</v>
      </c>
    </row>
    <row r="190" spans="1:6" x14ac:dyDescent="0.3">
      <c r="A190">
        <v>2023</v>
      </c>
      <c r="B190">
        <v>3</v>
      </c>
      <c r="C190" t="s">
        <v>37</v>
      </c>
      <c r="D190" t="s">
        <v>48</v>
      </c>
      <c r="E190" t="s">
        <v>50</v>
      </c>
      <c r="F190">
        <v>28885.18</v>
      </c>
    </row>
    <row r="191" spans="1:6" x14ac:dyDescent="0.3">
      <c r="A191">
        <v>2023</v>
      </c>
      <c r="B191">
        <v>3</v>
      </c>
      <c r="C191" t="s">
        <v>40</v>
      </c>
      <c r="D191" t="s">
        <v>48</v>
      </c>
      <c r="E191" t="s">
        <v>50</v>
      </c>
      <c r="F191">
        <v>96576.91</v>
      </c>
    </row>
    <row r="192" spans="1:6" x14ac:dyDescent="0.3">
      <c r="A192">
        <v>2023</v>
      </c>
      <c r="B192">
        <v>3</v>
      </c>
      <c r="C192" t="s">
        <v>41</v>
      </c>
      <c r="D192" t="s">
        <v>48</v>
      </c>
      <c r="E192" t="s">
        <v>50</v>
      </c>
      <c r="F192">
        <v>70561.740000000005</v>
      </c>
    </row>
    <row r="193" spans="1:6" x14ac:dyDescent="0.3">
      <c r="A193">
        <v>2023</v>
      </c>
      <c r="B193">
        <v>3</v>
      </c>
      <c r="C193" t="s">
        <v>42</v>
      </c>
      <c r="D193" t="s">
        <v>48</v>
      </c>
      <c r="E193" t="s">
        <v>50</v>
      </c>
      <c r="F193">
        <v>109438.45</v>
      </c>
    </row>
    <row r="194" spans="1:6" x14ac:dyDescent="0.3">
      <c r="A194">
        <v>2023</v>
      </c>
      <c r="B194">
        <v>3</v>
      </c>
      <c r="C194" t="s">
        <v>43</v>
      </c>
      <c r="D194" t="s">
        <v>48</v>
      </c>
      <c r="E194" t="s">
        <v>50</v>
      </c>
      <c r="F194">
        <v>107446.22</v>
      </c>
    </row>
    <row r="195" spans="1:6" x14ac:dyDescent="0.3">
      <c r="A195">
        <v>2023</v>
      </c>
      <c r="B195">
        <v>3</v>
      </c>
      <c r="C195" t="s">
        <v>44</v>
      </c>
      <c r="D195" t="s">
        <v>48</v>
      </c>
      <c r="E195" t="s">
        <v>50</v>
      </c>
      <c r="F195">
        <v>81398.87</v>
      </c>
    </row>
    <row r="196" spans="1:6" x14ac:dyDescent="0.3">
      <c r="A196">
        <v>2023</v>
      </c>
      <c r="B196">
        <v>3</v>
      </c>
      <c r="C196" t="s">
        <v>45</v>
      </c>
      <c r="D196" t="s">
        <v>48</v>
      </c>
      <c r="E196" t="s">
        <v>50</v>
      </c>
      <c r="F196">
        <v>25968.97</v>
      </c>
    </row>
    <row r="197" spans="1:6" x14ac:dyDescent="0.3">
      <c r="A197">
        <v>2023</v>
      </c>
      <c r="B197">
        <v>3</v>
      </c>
      <c r="C197" t="s">
        <v>37</v>
      </c>
      <c r="D197" t="s">
        <v>48</v>
      </c>
      <c r="E197" t="s">
        <v>51</v>
      </c>
      <c r="F197">
        <v>78200.39</v>
      </c>
    </row>
    <row r="198" spans="1:6" x14ac:dyDescent="0.3">
      <c r="A198">
        <v>2023</v>
      </c>
      <c r="B198">
        <v>3</v>
      </c>
      <c r="C198" t="s">
        <v>40</v>
      </c>
      <c r="D198" t="s">
        <v>48</v>
      </c>
      <c r="E198" t="s">
        <v>51</v>
      </c>
      <c r="F198">
        <v>25557.79</v>
      </c>
    </row>
    <row r="199" spans="1:6" x14ac:dyDescent="0.3">
      <c r="A199">
        <v>2023</v>
      </c>
      <c r="B199">
        <v>3</v>
      </c>
      <c r="C199" t="s">
        <v>41</v>
      </c>
      <c r="D199" t="s">
        <v>48</v>
      </c>
      <c r="E199" t="s">
        <v>51</v>
      </c>
      <c r="F199">
        <v>38655.18</v>
      </c>
    </row>
    <row r="200" spans="1:6" x14ac:dyDescent="0.3">
      <c r="A200">
        <v>2023</v>
      </c>
      <c r="B200">
        <v>3</v>
      </c>
      <c r="C200" t="s">
        <v>42</v>
      </c>
      <c r="D200" t="s">
        <v>48</v>
      </c>
      <c r="E200" t="s">
        <v>51</v>
      </c>
      <c r="F200">
        <v>56972.06</v>
      </c>
    </row>
    <row r="201" spans="1:6" x14ac:dyDescent="0.3">
      <c r="A201">
        <v>2023</v>
      </c>
      <c r="B201">
        <v>3</v>
      </c>
      <c r="C201" t="s">
        <v>43</v>
      </c>
      <c r="D201" t="s">
        <v>48</v>
      </c>
      <c r="E201" t="s">
        <v>51</v>
      </c>
      <c r="F201">
        <v>67951.289999999994</v>
      </c>
    </row>
    <row r="202" spans="1:6" x14ac:dyDescent="0.3">
      <c r="A202">
        <v>2023</v>
      </c>
      <c r="B202">
        <v>3</v>
      </c>
      <c r="C202" t="s">
        <v>44</v>
      </c>
      <c r="D202" t="s">
        <v>48</v>
      </c>
      <c r="E202" t="s">
        <v>51</v>
      </c>
      <c r="F202">
        <v>39240.230000000003</v>
      </c>
    </row>
    <row r="203" spans="1:6" x14ac:dyDescent="0.3">
      <c r="A203">
        <v>2023</v>
      </c>
      <c r="B203">
        <v>3</v>
      </c>
      <c r="C203" t="s">
        <v>45</v>
      </c>
      <c r="D203" t="s">
        <v>48</v>
      </c>
      <c r="E203" t="s">
        <v>51</v>
      </c>
      <c r="F203">
        <v>129097.94</v>
      </c>
    </row>
    <row r="204" spans="1:6" x14ac:dyDescent="0.3">
      <c r="A204">
        <v>2023</v>
      </c>
      <c r="B204">
        <v>3</v>
      </c>
      <c r="C204" t="s">
        <v>37</v>
      </c>
      <c r="D204" t="s">
        <v>48</v>
      </c>
      <c r="E204" t="s">
        <v>52</v>
      </c>
      <c r="F204">
        <v>105203.8</v>
      </c>
    </row>
    <row r="205" spans="1:6" x14ac:dyDescent="0.3">
      <c r="A205">
        <v>2023</v>
      </c>
      <c r="B205">
        <v>3</v>
      </c>
      <c r="C205" t="s">
        <v>40</v>
      </c>
      <c r="D205" t="s">
        <v>48</v>
      </c>
      <c r="E205" t="s">
        <v>52</v>
      </c>
      <c r="F205">
        <v>92476.93</v>
      </c>
    </row>
    <row r="206" spans="1:6" x14ac:dyDescent="0.3">
      <c r="A206">
        <v>2023</v>
      </c>
      <c r="B206">
        <v>3</v>
      </c>
      <c r="C206" t="s">
        <v>41</v>
      </c>
      <c r="D206" t="s">
        <v>48</v>
      </c>
      <c r="E206" t="s">
        <v>52</v>
      </c>
      <c r="F206">
        <v>82617.679999999993</v>
      </c>
    </row>
    <row r="207" spans="1:6" x14ac:dyDescent="0.3">
      <c r="A207">
        <v>2023</v>
      </c>
      <c r="B207">
        <v>3</v>
      </c>
      <c r="C207" t="s">
        <v>42</v>
      </c>
      <c r="D207" t="s">
        <v>48</v>
      </c>
      <c r="E207" t="s">
        <v>52</v>
      </c>
      <c r="F207">
        <v>38042.76</v>
      </c>
    </row>
    <row r="208" spans="1:6" x14ac:dyDescent="0.3">
      <c r="A208">
        <v>2023</v>
      </c>
      <c r="B208">
        <v>3</v>
      </c>
      <c r="C208" t="s">
        <v>43</v>
      </c>
      <c r="D208" t="s">
        <v>48</v>
      </c>
      <c r="E208" t="s">
        <v>52</v>
      </c>
      <c r="F208">
        <v>61125.98</v>
      </c>
    </row>
    <row r="209" spans="1:6" x14ac:dyDescent="0.3">
      <c r="A209">
        <v>2023</v>
      </c>
      <c r="B209">
        <v>3</v>
      </c>
      <c r="C209" t="s">
        <v>44</v>
      </c>
      <c r="D209" t="s">
        <v>48</v>
      </c>
      <c r="E209" t="s">
        <v>52</v>
      </c>
      <c r="F209">
        <v>65985.08</v>
      </c>
    </row>
    <row r="210" spans="1:6" x14ac:dyDescent="0.3">
      <c r="A210">
        <v>2023</v>
      </c>
      <c r="B210">
        <v>3</v>
      </c>
      <c r="C210" t="s">
        <v>45</v>
      </c>
      <c r="D210" t="s">
        <v>48</v>
      </c>
      <c r="E210" t="s">
        <v>52</v>
      </c>
      <c r="F210">
        <v>73463.360000000001</v>
      </c>
    </row>
    <row r="211" spans="1:6" x14ac:dyDescent="0.3">
      <c r="A211">
        <v>2023</v>
      </c>
      <c r="B211">
        <v>3</v>
      </c>
      <c r="C211" t="s">
        <v>37</v>
      </c>
      <c r="D211" t="s">
        <v>48</v>
      </c>
      <c r="E211" t="s">
        <v>53</v>
      </c>
      <c r="F211">
        <v>126847.73</v>
      </c>
    </row>
    <row r="212" spans="1:6" x14ac:dyDescent="0.3">
      <c r="A212">
        <v>2023</v>
      </c>
      <c r="B212">
        <v>3</v>
      </c>
      <c r="C212" t="s">
        <v>40</v>
      </c>
      <c r="D212" t="s">
        <v>48</v>
      </c>
      <c r="E212" t="s">
        <v>53</v>
      </c>
      <c r="F212">
        <v>85120.78</v>
      </c>
    </row>
    <row r="213" spans="1:6" x14ac:dyDescent="0.3">
      <c r="A213">
        <v>2023</v>
      </c>
      <c r="B213">
        <v>3</v>
      </c>
      <c r="C213" t="s">
        <v>41</v>
      </c>
      <c r="D213" t="s">
        <v>48</v>
      </c>
      <c r="E213" t="s">
        <v>53</v>
      </c>
      <c r="F213">
        <v>60665.99</v>
      </c>
    </row>
    <row r="214" spans="1:6" x14ac:dyDescent="0.3">
      <c r="A214">
        <v>2023</v>
      </c>
      <c r="B214">
        <v>3</v>
      </c>
      <c r="C214" t="s">
        <v>42</v>
      </c>
      <c r="D214" t="s">
        <v>48</v>
      </c>
      <c r="E214" t="s">
        <v>53</v>
      </c>
      <c r="F214">
        <v>61514.64</v>
      </c>
    </row>
    <row r="215" spans="1:6" x14ac:dyDescent="0.3">
      <c r="A215">
        <v>2023</v>
      </c>
      <c r="B215">
        <v>3</v>
      </c>
      <c r="C215" t="s">
        <v>43</v>
      </c>
      <c r="D215" t="s">
        <v>48</v>
      </c>
      <c r="E215" t="s">
        <v>53</v>
      </c>
      <c r="F215">
        <v>47981.31</v>
      </c>
    </row>
    <row r="216" spans="1:6" x14ac:dyDescent="0.3">
      <c r="A216">
        <v>2023</v>
      </c>
      <c r="B216">
        <v>3</v>
      </c>
      <c r="C216" t="s">
        <v>44</v>
      </c>
      <c r="D216" t="s">
        <v>48</v>
      </c>
      <c r="E216" t="s">
        <v>53</v>
      </c>
      <c r="F216">
        <v>90577.85</v>
      </c>
    </row>
    <row r="217" spans="1:6" x14ac:dyDescent="0.3">
      <c r="A217">
        <v>2023</v>
      </c>
      <c r="B217">
        <v>3</v>
      </c>
      <c r="C217" t="s">
        <v>45</v>
      </c>
      <c r="D217" t="s">
        <v>48</v>
      </c>
      <c r="E217" t="s">
        <v>53</v>
      </c>
      <c r="F217">
        <v>84127.29</v>
      </c>
    </row>
    <row r="218" spans="1:6" x14ac:dyDescent="0.3">
      <c r="A218">
        <v>2023</v>
      </c>
      <c r="B218">
        <v>3</v>
      </c>
      <c r="C218" t="s">
        <v>37</v>
      </c>
      <c r="D218" t="s">
        <v>48</v>
      </c>
      <c r="E218" t="s">
        <v>54</v>
      </c>
      <c r="F218">
        <v>51446.879999999997</v>
      </c>
    </row>
    <row r="219" spans="1:6" x14ac:dyDescent="0.3">
      <c r="A219">
        <v>2023</v>
      </c>
      <c r="B219">
        <v>3</v>
      </c>
      <c r="C219" t="s">
        <v>40</v>
      </c>
      <c r="D219" t="s">
        <v>48</v>
      </c>
      <c r="E219" t="s">
        <v>54</v>
      </c>
      <c r="F219">
        <v>47710.22</v>
      </c>
    </row>
    <row r="220" spans="1:6" x14ac:dyDescent="0.3">
      <c r="A220">
        <v>2023</v>
      </c>
      <c r="B220">
        <v>3</v>
      </c>
      <c r="C220" t="s">
        <v>41</v>
      </c>
      <c r="D220" t="s">
        <v>48</v>
      </c>
      <c r="E220" t="s">
        <v>54</v>
      </c>
      <c r="F220">
        <v>85268.39</v>
      </c>
    </row>
    <row r="221" spans="1:6" x14ac:dyDescent="0.3">
      <c r="A221">
        <v>2023</v>
      </c>
      <c r="B221">
        <v>3</v>
      </c>
      <c r="C221" t="s">
        <v>42</v>
      </c>
      <c r="D221" t="s">
        <v>48</v>
      </c>
      <c r="E221" t="s">
        <v>54</v>
      </c>
      <c r="F221">
        <v>116545.92</v>
      </c>
    </row>
    <row r="222" spans="1:6" x14ac:dyDescent="0.3">
      <c r="A222">
        <v>2023</v>
      </c>
      <c r="B222">
        <v>3</v>
      </c>
      <c r="C222" t="s">
        <v>43</v>
      </c>
      <c r="D222" t="s">
        <v>48</v>
      </c>
      <c r="E222" t="s">
        <v>54</v>
      </c>
      <c r="F222">
        <v>97024.39</v>
      </c>
    </row>
    <row r="223" spans="1:6" x14ac:dyDescent="0.3">
      <c r="A223">
        <v>2023</v>
      </c>
      <c r="B223">
        <v>3</v>
      </c>
      <c r="C223" t="s">
        <v>44</v>
      </c>
      <c r="D223" t="s">
        <v>48</v>
      </c>
      <c r="E223" t="s">
        <v>54</v>
      </c>
      <c r="F223">
        <v>9830.2900000000009</v>
      </c>
    </row>
    <row r="224" spans="1:6" x14ac:dyDescent="0.3">
      <c r="A224">
        <v>2023</v>
      </c>
      <c r="B224">
        <v>3</v>
      </c>
      <c r="C224" t="s">
        <v>45</v>
      </c>
      <c r="D224" t="s">
        <v>48</v>
      </c>
      <c r="E224" t="s">
        <v>54</v>
      </c>
      <c r="F224">
        <v>41368.43</v>
      </c>
    </row>
    <row r="225" spans="1:6" x14ac:dyDescent="0.3">
      <c r="A225">
        <v>2023</v>
      </c>
      <c r="B225">
        <v>3</v>
      </c>
      <c r="C225" t="s">
        <v>37</v>
      </c>
      <c r="D225" t="s">
        <v>48</v>
      </c>
      <c r="E225" t="s">
        <v>55</v>
      </c>
      <c r="F225">
        <v>44633.11</v>
      </c>
    </row>
    <row r="226" spans="1:6" x14ac:dyDescent="0.3">
      <c r="A226">
        <v>2023</v>
      </c>
      <c r="B226">
        <v>3</v>
      </c>
      <c r="C226" t="s">
        <v>40</v>
      </c>
      <c r="D226" t="s">
        <v>48</v>
      </c>
      <c r="E226" t="s">
        <v>55</v>
      </c>
      <c r="F226">
        <v>70225.960000000006</v>
      </c>
    </row>
    <row r="227" spans="1:6" x14ac:dyDescent="0.3">
      <c r="A227">
        <v>2023</v>
      </c>
      <c r="B227">
        <v>3</v>
      </c>
      <c r="C227" t="s">
        <v>41</v>
      </c>
      <c r="D227" t="s">
        <v>48</v>
      </c>
      <c r="E227" t="s">
        <v>55</v>
      </c>
      <c r="F227">
        <v>16392.82</v>
      </c>
    </row>
    <row r="228" spans="1:6" x14ac:dyDescent="0.3">
      <c r="A228">
        <v>2023</v>
      </c>
      <c r="B228">
        <v>3</v>
      </c>
      <c r="C228" t="s">
        <v>42</v>
      </c>
      <c r="D228" t="s">
        <v>48</v>
      </c>
      <c r="E228" t="s">
        <v>55</v>
      </c>
      <c r="F228">
        <v>37445.93</v>
      </c>
    </row>
    <row r="229" spans="1:6" x14ac:dyDescent="0.3">
      <c r="A229">
        <v>2023</v>
      </c>
      <c r="B229">
        <v>3</v>
      </c>
      <c r="C229" t="s">
        <v>43</v>
      </c>
      <c r="D229" t="s">
        <v>48</v>
      </c>
      <c r="E229" t="s">
        <v>55</v>
      </c>
      <c r="F229">
        <v>49256.98</v>
      </c>
    </row>
    <row r="230" spans="1:6" x14ac:dyDescent="0.3">
      <c r="A230">
        <v>2023</v>
      </c>
      <c r="B230">
        <v>3</v>
      </c>
      <c r="C230" t="s">
        <v>44</v>
      </c>
      <c r="D230" t="s">
        <v>48</v>
      </c>
      <c r="E230" t="s">
        <v>55</v>
      </c>
      <c r="F230">
        <v>62199.040000000001</v>
      </c>
    </row>
    <row r="231" spans="1:6" x14ac:dyDescent="0.3">
      <c r="A231">
        <v>2023</v>
      </c>
      <c r="B231">
        <v>3</v>
      </c>
      <c r="C231" t="s">
        <v>45</v>
      </c>
      <c r="D231" t="s">
        <v>48</v>
      </c>
      <c r="E231" t="s">
        <v>55</v>
      </c>
      <c r="F231">
        <v>52728.09</v>
      </c>
    </row>
    <row r="232" spans="1:6" x14ac:dyDescent="0.3">
      <c r="A232">
        <v>2023</v>
      </c>
      <c r="B232">
        <v>3</v>
      </c>
      <c r="C232" t="s">
        <v>37</v>
      </c>
      <c r="D232" t="s">
        <v>48</v>
      </c>
      <c r="E232" t="s">
        <v>56</v>
      </c>
      <c r="F232">
        <v>76509.990000000005</v>
      </c>
    </row>
    <row r="233" spans="1:6" x14ac:dyDescent="0.3">
      <c r="A233">
        <v>2023</v>
      </c>
      <c r="B233">
        <v>3</v>
      </c>
      <c r="C233" t="s">
        <v>40</v>
      </c>
      <c r="D233" t="s">
        <v>48</v>
      </c>
      <c r="E233" t="s">
        <v>56</v>
      </c>
      <c r="F233">
        <v>57482.31</v>
      </c>
    </row>
    <row r="234" spans="1:6" x14ac:dyDescent="0.3">
      <c r="A234">
        <v>2023</v>
      </c>
      <c r="B234">
        <v>3</v>
      </c>
      <c r="C234" t="s">
        <v>41</v>
      </c>
      <c r="D234" t="s">
        <v>48</v>
      </c>
      <c r="E234" t="s">
        <v>56</v>
      </c>
      <c r="F234">
        <v>111987.27</v>
      </c>
    </row>
    <row r="235" spans="1:6" x14ac:dyDescent="0.3">
      <c r="A235">
        <v>2023</v>
      </c>
      <c r="B235">
        <v>3</v>
      </c>
      <c r="C235" t="s">
        <v>42</v>
      </c>
      <c r="D235" t="s">
        <v>48</v>
      </c>
      <c r="E235" t="s">
        <v>56</v>
      </c>
      <c r="F235">
        <v>46550.7</v>
      </c>
    </row>
    <row r="236" spans="1:6" x14ac:dyDescent="0.3">
      <c r="A236">
        <v>2023</v>
      </c>
      <c r="B236">
        <v>3</v>
      </c>
      <c r="C236" t="s">
        <v>43</v>
      </c>
      <c r="D236" t="s">
        <v>48</v>
      </c>
      <c r="E236" t="s">
        <v>56</v>
      </c>
      <c r="F236">
        <v>62156.160000000003</v>
      </c>
    </row>
    <row r="237" spans="1:6" x14ac:dyDescent="0.3">
      <c r="A237">
        <v>2023</v>
      </c>
      <c r="B237">
        <v>3</v>
      </c>
      <c r="C237" t="s">
        <v>44</v>
      </c>
      <c r="D237" t="s">
        <v>48</v>
      </c>
      <c r="E237" t="s">
        <v>56</v>
      </c>
      <c r="F237">
        <v>84584.21</v>
      </c>
    </row>
    <row r="238" spans="1:6" x14ac:dyDescent="0.3">
      <c r="A238">
        <v>2023</v>
      </c>
      <c r="B238">
        <v>3</v>
      </c>
      <c r="C238" t="s">
        <v>45</v>
      </c>
      <c r="D238" t="s">
        <v>48</v>
      </c>
      <c r="E238" t="s">
        <v>56</v>
      </c>
      <c r="F238">
        <v>49678.98</v>
      </c>
    </row>
    <row r="239" spans="1:6" x14ac:dyDescent="0.3">
      <c r="A239">
        <v>2023</v>
      </c>
      <c r="B239">
        <v>3</v>
      </c>
      <c r="C239" t="s">
        <v>37</v>
      </c>
      <c r="D239" t="s">
        <v>57</v>
      </c>
      <c r="E239" t="s">
        <v>58</v>
      </c>
      <c r="F239">
        <v>92337.08</v>
      </c>
    </row>
    <row r="240" spans="1:6" x14ac:dyDescent="0.3">
      <c r="A240">
        <v>2023</v>
      </c>
      <c r="B240">
        <v>3</v>
      </c>
      <c r="C240" t="s">
        <v>37</v>
      </c>
      <c r="D240" t="s">
        <v>57</v>
      </c>
      <c r="E240" t="s">
        <v>59</v>
      </c>
      <c r="F240">
        <v>30542.09</v>
      </c>
    </row>
    <row r="241" spans="1:6" x14ac:dyDescent="0.3">
      <c r="A241">
        <v>2023</v>
      </c>
      <c r="B241">
        <v>3</v>
      </c>
      <c r="C241" t="s">
        <v>37</v>
      </c>
      <c r="D241" t="s">
        <v>57</v>
      </c>
      <c r="E241" t="s">
        <v>60</v>
      </c>
      <c r="F241">
        <v>45180.38</v>
      </c>
    </row>
    <row r="242" spans="1:6" x14ac:dyDescent="0.3">
      <c r="A242">
        <v>2023</v>
      </c>
      <c r="B242">
        <v>4</v>
      </c>
      <c r="C242" t="s">
        <v>37</v>
      </c>
      <c r="D242" t="s">
        <v>38</v>
      </c>
      <c r="E242" t="s">
        <v>39</v>
      </c>
      <c r="F242">
        <v>73057.45</v>
      </c>
    </row>
    <row r="243" spans="1:6" x14ac:dyDescent="0.3">
      <c r="A243">
        <v>2023</v>
      </c>
      <c r="B243">
        <v>4</v>
      </c>
      <c r="C243" t="s">
        <v>40</v>
      </c>
      <c r="D243" t="s">
        <v>38</v>
      </c>
      <c r="E243" t="s">
        <v>39</v>
      </c>
      <c r="F243">
        <v>127926.96</v>
      </c>
    </row>
    <row r="244" spans="1:6" x14ac:dyDescent="0.3">
      <c r="A244">
        <v>2023</v>
      </c>
      <c r="B244">
        <v>4</v>
      </c>
      <c r="C244" t="s">
        <v>41</v>
      </c>
      <c r="D244" t="s">
        <v>38</v>
      </c>
      <c r="E244" t="s">
        <v>39</v>
      </c>
      <c r="F244">
        <v>29694.2</v>
      </c>
    </row>
    <row r="245" spans="1:6" x14ac:dyDescent="0.3">
      <c r="A245">
        <v>2023</v>
      </c>
      <c r="B245">
        <v>4</v>
      </c>
      <c r="C245" t="s">
        <v>42</v>
      </c>
      <c r="D245" t="s">
        <v>38</v>
      </c>
      <c r="E245" t="s">
        <v>39</v>
      </c>
      <c r="F245">
        <v>101590.58</v>
      </c>
    </row>
    <row r="246" spans="1:6" x14ac:dyDescent="0.3">
      <c r="A246">
        <v>2023</v>
      </c>
      <c r="B246">
        <v>4</v>
      </c>
      <c r="C246" t="s">
        <v>43</v>
      </c>
      <c r="D246" t="s">
        <v>38</v>
      </c>
      <c r="E246" t="s">
        <v>39</v>
      </c>
      <c r="F246">
        <v>51903.44</v>
      </c>
    </row>
    <row r="247" spans="1:6" x14ac:dyDescent="0.3">
      <c r="A247">
        <v>2023</v>
      </c>
      <c r="B247">
        <v>4</v>
      </c>
      <c r="C247" t="s">
        <v>44</v>
      </c>
      <c r="D247" t="s">
        <v>38</v>
      </c>
      <c r="E247" t="s">
        <v>39</v>
      </c>
      <c r="F247">
        <v>48018.96</v>
      </c>
    </row>
    <row r="248" spans="1:6" x14ac:dyDescent="0.3">
      <c r="A248">
        <v>2023</v>
      </c>
      <c r="B248">
        <v>4</v>
      </c>
      <c r="C248" t="s">
        <v>45</v>
      </c>
      <c r="D248" t="s">
        <v>38</v>
      </c>
      <c r="E248" t="s">
        <v>39</v>
      </c>
      <c r="F248">
        <v>69655.11</v>
      </c>
    </row>
    <row r="249" spans="1:6" x14ac:dyDescent="0.3">
      <c r="A249">
        <v>2023</v>
      </c>
      <c r="B249">
        <v>4</v>
      </c>
      <c r="C249" t="s">
        <v>37</v>
      </c>
      <c r="D249" t="s">
        <v>38</v>
      </c>
      <c r="E249" t="s">
        <v>46</v>
      </c>
      <c r="F249">
        <v>78692.539999999994</v>
      </c>
    </row>
    <row r="250" spans="1:6" x14ac:dyDescent="0.3">
      <c r="A250">
        <v>2023</v>
      </c>
      <c r="B250">
        <v>4</v>
      </c>
      <c r="C250" t="s">
        <v>40</v>
      </c>
      <c r="D250" t="s">
        <v>38</v>
      </c>
      <c r="E250" t="s">
        <v>46</v>
      </c>
      <c r="F250">
        <v>103209.99</v>
      </c>
    </row>
    <row r="251" spans="1:6" x14ac:dyDescent="0.3">
      <c r="A251">
        <v>2023</v>
      </c>
      <c r="B251">
        <v>4</v>
      </c>
      <c r="C251" t="s">
        <v>41</v>
      </c>
      <c r="D251" t="s">
        <v>38</v>
      </c>
      <c r="E251" t="s">
        <v>46</v>
      </c>
      <c r="F251">
        <v>78296.88</v>
      </c>
    </row>
    <row r="252" spans="1:6" x14ac:dyDescent="0.3">
      <c r="A252">
        <v>2023</v>
      </c>
      <c r="B252">
        <v>4</v>
      </c>
      <c r="C252" t="s">
        <v>42</v>
      </c>
      <c r="D252" t="s">
        <v>38</v>
      </c>
      <c r="E252" t="s">
        <v>46</v>
      </c>
      <c r="F252">
        <v>63717.279999999999</v>
      </c>
    </row>
    <row r="253" spans="1:6" x14ac:dyDescent="0.3">
      <c r="A253">
        <v>2023</v>
      </c>
      <c r="B253">
        <v>4</v>
      </c>
      <c r="C253" t="s">
        <v>43</v>
      </c>
      <c r="D253" t="s">
        <v>38</v>
      </c>
      <c r="E253" t="s">
        <v>46</v>
      </c>
      <c r="F253">
        <v>100776.69</v>
      </c>
    </row>
    <row r="254" spans="1:6" x14ac:dyDescent="0.3">
      <c r="A254">
        <v>2023</v>
      </c>
      <c r="B254">
        <v>4</v>
      </c>
      <c r="C254" t="s">
        <v>44</v>
      </c>
      <c r="D254" t="s">
        <v>38</v>
      </c>
      <c r="E254" t="s">
        <v>46</v>
      </c>
      <c r="F254">
        <v>50785.53</v>
      </c>
    </row>
    <row r="255" spans="1:6" x14ac:dyDescent="0.3">
      <c r="A255">
        <v>2023</v>
      </c>
      <c r="B255">
        <v>4</v>
      </c>
      <c r="C255" t="s">
        <v>45</v>
      </c>
      <c r="D255" t="s">
        <v>38</v>
      </c>
      <c r="E255" t="s">
        <v>46</v>
      </c>
      <c r="F255">
        <v>42184.88</v>
      </c>
    </row>
    <row r="256" spans="1:6" x14ac:dyDescent="0.3">
      <c r="A256">
        <v>2023</v>
      </c>
      <c r="B256">
        <v>4</v>
      </c>
      <c r="C256" t="s">
        <v>37</v>
      </c>
      <c r="D256" t="s">
        <v>38</v>
      </c>
      <c r="E256" t="s">
        <v>47</v>
      </c>
      <c r="F256">
        <v>42937.9</v>
      </c>
    </row>
    <row r="257" spans="1:6" x14ac:dyDescent="0.3">
      <c r="A257">
        <v>2023</v>
      </c>
      <c r="B257">
        <v>4</v>
      </c>
      <c r="C257" t="s">
        <v>40</v>
      </c>
      <c r="D257" t="s">
        <v>38</v>
      </c>
      <c r="E257" t="s">
        <v>47</v>
      </c>
      <c r="F257">
        <v>32535.29</v>
      </c>
    </row>
    <row r="258" spans="1:6" x14ac:dyDescent="0.3">
      <c r="A258">
        <v>2023</v>
      </c>
      <c r="B258">
        <v>4</v>
      </c>
      <c r="C258" t="s">
        <v>41</v>
      </c>
      <c r="D258" t="s">
        <v>38</v>
      </c>
      <c r="E258" t="s">
        <v>47</v>
      </c>
      <c r="F258">
        <v>58435.18</v>
      </c>
    </row>
    <row r="259" spans="1:6" x14ac:dyDescent="0.3">
      <c r="A259">
        <v>2023</v>
      </c>
      <c r="B259">
        <v>4</v>
      </c>
      <c r="C259" t="s">
        <v>42</v>
      </c>
      <c r="D259" t="s">
        <v>38</v>
      </c>
      <c r="E259" t="s">
        <v>47</v>
      </c>
      <c r="F259">
        <v>19007.39</v>
      </c>
    </row>
    <row r="260" spans="1:6" x14ac:dyDescent="0.3">
      <c r="A260">
        <v>2023</v>
      </c>
      <c r="B260">
        <v>4</v>
      </c>
      <c r="C260" t="s">
        <v>43</v>
      </c>
      <c r="D260" t="s">
        <v>38</v>
      </c>
      <c r="E260" t="s">
        <v>47</v>
      </c>
      <c r="F260">
        <v>37861.9</v>
      </c>
    </row>
    <row r="261" spans="1:6" x14ac:dyDescent="0.3">
      <c r="A261">
        <v>2023</v>
      </c>
      <c r="B261">
        <v>4</v>
      </c>
      <c r="C261" t="s">
        <v>44</v>
      </c>
      <c r="D261" t="s">
        <v>38</v>
      </c>
      <c r="E261" t="s">
        <v>47</v>
      </c>
      <c r="F261">
        <v>55869.32</v>
      </c>
    </row>
    <row r="262" spans="1:6" x14ac:dyDescent="0.3">
      <c r="A262">
        <v>2023</v>
      </c>
      <c r="B262">
        <v>4</v>
      </c>
      <c r="C262" t="s">
        <v>45</v>
      </c>
      <c r="D262" t="s">
        <v>38</v>
      </c>
      <c r="E262" t="s">
        <v>47</v>
      </c>
      <c r="F262">
        <v>89172.33</v>
      </c>
    </row>
    <row r="263" spans="1:6" x14ac:dyDescent="0.3">
      <c r="A263">
        <v>2023</v>
      </c>
      <c r="B263">
        <v>4</v>
      </c>
      <c r="C263" t="s">
        <v>37</v>
      </c>
      <c r="D263" t="s">
        <v>48</v>
      </c>
      <c r="E263" t="s">
        <v>49</v>
      </c>
      <c r="F263">
        <v>88290.02</v>
      </c>
    </row>
    <row r="264" spans="1:6" x14ac:dyDescent="0.3">
      <c r="A264">
        <v>2023</v>
      </c>
      <c r="B264">
        <v>4</v>
      </c>
      <c r="C264" t="s">
        <v>40</v>
      </c>
      <c r="D264" t="s">
        <v>48</v>
      </c>
      <c r="E264" t="s">
        <v>49</v>
      </c>
      <c r="F264">
        <v>48138.57</v>
      </c>
    </row>
    <row r="265" spans="1:6" x14ac:dyDescent="0.3">
      <c r="A265">
        <v>2023</v>
      </c>
      <c r="B265">
        <v>4</v>
      </c>
      <c r="C265" t="s">
        <v>41</v>
      </c>
      <c r="D265" t="s">
        <v>48</v>
      </c>
      <c r="E265" t="s">
        <v>49</v>
      </c>
      <c r="F265">
        <v>65760.14</v>
      </c>
    </row>
    <row r="266" spans="1:6" x14ac:dyDescent="0.3">
      <c r="A266">
        <v>2023</v>
      </c>
      <c r="B266">
        <v>4</v>
      </c>
      <c r="C266" t="s">
        <v>42</v>
      </c>
      <c r="D266" t="s">
        <v>48</v>
      </c>
      <c r="E266" t="s">
        <v>49</v>
      </c>
      <c r="F266">
        <v>11306.4</v>
      </c>
    </row>
    <row r="267" spans="1:6" x14ac:dyDescent="0.3">
      <c r="A267">
        <v>2023</v>
      </c>
      <c r="B267">
        <v>4</v>
      </c>
      <c r="C267" t="s">
        <v>43</v>
      </c>
      <c r="D267" t="s">
        <v>48</v>
      </c>
      <c r="E267" t="s">
        <v>49</v>
      </c>
      <c r="F267">
        <v>9833.01</v>
      </c>
    </row>
    <row r="268" spans="1:6" x14ac:dyDescent="0.3">
      <c r="A268">
        <v>2023</v>
      </c>
      <c r="B268">
        <v>4</v>
      </c>
      <c r="C268" t="s">
        <v>44</v>
      </c>
      <c r="D268" t="s">
        <v>48</v>
      </c>
      <c r="E268" t="s">
        <v>49</v>
      </c>
      <c r="F268">
        <v>84344.98</v>
      </c>
    </row>
    <row r="269" spans="1:6" x14ac:dyDescent="0.3">
      <c r="A269">
        <v>2023</v>
      </c>
      <c r="B269">
        <v>4</v>
      </c>
      <c r="C269" t="s">
        <v>45</v>
      </c>
      <c r="D269" t="s">
        <v>48</v>
      </c>
      <c r="E269" t="s">
        <v>49</v>
      </c>
      <c r="F269">
        <v>38231.71</v>
      </c>
    </row>
    <row r="270" spans="1:6" x14ac:dyDescent="0.3">
      <c r="A270">
        <v>2023</v>
      </c>
      <c r="B270">
        <v>4</v>
      </c>
      <c r="C270" t="s">
        <v>37</v>
      </c>
      <c r="D270" t="s">
        <v>48</v>
      </c>
      <c r="E270" t="s">
        <v>50</v>
      </c>
      <c r="F270">
        <v>39642.300000000003</v>
      </c>
    </row>
    <row r="271" spans="1:6" x14ac:dyDescent="0.3">
      <c r="A271">
        <v>2023</v>
      </c>
      <c r="B271">
        <v>4</v>
      </c>
      <c r="C271" t="s">
        <v>40</v>
      </c>
      <c r="D271" t="s">
        <v>48</v>
      </c>
      <c r="E271" t="s">
        <v>50</v>
      </c>
      <c r="F271">
        <v>82548.509999999995</v>
      </c>
    </row>
    <row r="272" spans="1:6" x14ac:dyDescent="0.3">
      <c r="A272">
        <v>2023</v>
      </c>
      <c r="B272">
        <v>4</v>
      </c>
      <c r="C272" t="s">
        <v>41</v>
      </c>
      <c r="D272" t="s">
        <v>48</v>
      </c>
      <c r="E272" t="s">
        <v>50</v>
      </c>
      <c r="F272">
        <v>123758.5</v>
      </c>
    </row>
    <row r="273" spans="1:6" x14ac:dyDescent="0.3">
      <c r="A273">
        <v>2023</v>
      </c>
      <c r="B273">
        <v>4</v>
      </c>
      <c r="C273" t="s">
        <v>42</v>
      </c>
      <c r="D273" t="s">
        <v>48</v>
      </c>
      <c r="E273" t="s">
        <v>50</v>
      </c>
      <c r="F273">
        <v>14551.28</v>
      </c>
    </row>
    <row r="274" spans="1:6" x14ac:dyDescent="0.3">
      <c r="A274">
        <v>2023</v>
      </c>
      <c r="B274">
        <v>4</v>
      </c>
      <c r="C274" t="s">
        <v>43</v>
      </c>
      <c r="D274" t="s">
        <v>48</v>
      </c>
      <c r="E274" t="s">
        <v>50</v>
      </c>
      <c r="F274">
        <v>63165.760000000002</v>
      </c>
    </row>
    <row r="275" spans="1:6" x14ac:dyDescent="0.3">
      <c r="A275">
        <v>2023</v>
      </c>
      <c r="B275">
        <v>4</v>
      </c>
      <c r="C275" t="s">
        <v>44</v>
      </c>
      <c r="D275" t="s">
        <v>48</v>
      </c>
      <c r="E275" t="s">
        <v>50</v>
      </c>
      <c r="F275">
        <v>51201.71</v>
      </c>
    </row>
    <row r="276" spans="1:6" x14ac:dyDescent="0.3">
      <c r="A276">
        <v>2023</v>
      </c>
      <c r="B276">
        <v>4</v>
      </c>
      <c r="C276" t="s">
        <v>45</v>
      </c>
      <c r="D276" t="s">
        <v>48</v>
      </c>
      <c r="E276" t="s">
        <v>50</v>
      </c>
      <c r="F276">
        <v>77839.3</v>
      </c>
    </row>
    <row r="277" spans="1:6" x14ac:dyDescent="0.3">
      <c r="A277">
        <v>2023</v>
      </c>
      <c r="B277">
        <v>4</v>
      </c>
      <c r="C277" t="s">
        <v>37</v>
      </c>
      <c r="D277" t="s">
        <v>48</v>
      </c>
      <c r="E277" t="s">
        <v>51</v>
      </c>
      <c r="F277">
        <v>52765.05</v>
      </c>
    </row>
    <row r="278" spans="1:6" x14ac:dyDescent="0.3">
      <c r="A278">
        <v>2023</v>
      </c>
      <c r="B278">
        <v>4</v>
      </c>
      <c r="C278" t="s">
        <v>40</v>
      </c>
      <c r="D278" t="s">
        <v>48</v>
      </c>
      <c r="E278" t="s">
        <v>51</v>
      </c>
      <c r="F278">
        <v>134732.29999999999</v>
      </c>
    </row>
    <row r="279" spans="1:6" x14ac:dyDescent="0.3">
      <c r="A279">
        <v>2023</v>
      </c>
      <c r="B279">
        <v>4</v>
      </c>
      <c r="C279" t="s">
        <v>41</v>
      </c>
      <c r="D279" t="s">
        <v>48</v>
      </c>
      <c r="E279" t="s">
        <v>51</v>
      </c>
      <c r="F279">
        <v>116385.57</v>
      </c>
    </row>
    <row r="280" spans="1:6" x14ac:dyDescent="0.3">
      <c r="A280">
        <v>2023</v>
      </c>
      <c r="B280">
        <v>4</v>
      </c>
      <c r="C280" t="s">
        <v>42</v>
      </c>
      <c r="D280" t="s">
        <v>48</v>
      </c>
      <c r="E280" t="s">
        <v>51</v>
      </c>
      <c r="F280">
        <v>34128.629999999997</v>
      </c>
    </row>
    <row r="281" spans="1:6" x14ac:dyDescent="0.3">
      <c r="A281">
        <v>2023</v>
      </c>
      <c r="B281">
        <v>4</v>
      </c>
      <c r="C281" t="s">
        <v>43</v>
      </c>
      <c r="D281" t="s">
        <v>48</v>
      </c>
      <c r="E281" t="s">
        <v>51</v>
      </c>
      <c r="F281">
        <v>91450.08</v>
      </c>
    </row>
    <row r="282" spans="1:6" x14ac:dyDescent="0.3">
      <c r="A282">
        <v>2023</v>
      </c>
      <c r="B282">
        <v>4</v>
      </c>
      <c r="C282" t="s">
        <v>44</v>
      </c>
      <c r="D282" t="s">
        <v>48</v>
      </c>
      <c r="E282" t="s">
        <v>51</v>
      </c>
      <c r="F282">
        <v>81826.03</v>
      </c>
    </row>
    <row r="283" spans="1:6" x14ac:dyDescent="0.3">
      <c r="A283">
        <v>2023</v>
      </c>
      <c r="B283">
        <v>4</v>
      </c>
      <c r="C283" t="s">
        <v>45</v>
      </c>
      <c r="D283" t="s">
        <v>48</v>
      </c>
      <c r="E283" t="s">
        <v>51</v>
      </c>
      <c r="F283">
        <v>95757.65</v>
      </c>
    </row>
    <row r="284" spans="1:6" x14ac:dyDescent="0.3">
      <c r="A284">
        <v>2023</v>
      </c>
      <c r="B284">
        <v>4</v>
      </c>
      <c r="C284" t="s">
        <v>37</v>
      </c>
      <c r="D284" t="s">
        <v>48</v>
      </c>
      <c r="E284" t="s">
        <v>52</v>
      </c>
      <c r="F284">
        <v>129526.77</v>
      </c>
    </row>
    <row r="285" spans="1:6" x14ac:dyDescent="0.3">
      <c r="A285">
        <v>2023</v>
      </c>
      <c r="B285">
        <v>4</v>
      </c>
      <c r="C285" t="s">
        <v>40</v>
      </c>
      <c r="D285" t="s">
        <v>48</v>
      </c>
      <c r="E285" t="s">
        <v>52</v>
      </c>
      <c r="F285">
        <v>76941.8</v>
      </c>
    </row>
    <row r="286" spans="1:6" x14ac:dyDescent="0.3">
      <c r="A286">
        <v>2023</v>
      </c>
      <c r="B286">
        <v>4</v>
      </c>
      <c r="C286" t="s">
        <v>41</v>
      </c>
      <c r="D286" t="s">
        <v>48</v>
      </c>
      <c r="E286" t="s">
        <v>52</v>
      </c>
      <c r="F286">
        <v>137860.91</v>
      </c>
    </row>
    <row r="287" spans="1:6" x14ac:dyDescent="0.3">
      <c r="A287">
        <v>2023</v>
      </c>
      <c r="B287">
        <v>4</v>
      </c>
      <c r="C287" t="s">
        <v>42</v>
      </c>
      <c r="D287" t="s">
        <v>48</v>
      </c>
      <c r="E287" t="s">
        <v>52</v>
      </c>
      <c r="F287">
        <v>66175.95</v>
      </c>
    </row>
    <row r="288" spans="1:6" x14ac:dyDescent="0.3">
      <c r="A288">
        <v>2023</v>
      </c>
      <c r="B288">
        <v>4</v>
      </c>
      <c r="C288" t="s">
        <v>43</v>
      </c>
      <c r="D288" t="s">
        <v>48</v>
      </c>
      <c r="E288" t="s">
        <v>52</v>
      </c>
      <c r="F288">
        <v>85132.03</v>
      </c>
    </row>
    <row r="289" spans="1:6" x14ac:dyDescent="0.3">
      <c r="A289">
        <v>2023</v>
      </c>
      <c r="B289">
        <v>4</v>
      </c>
      <c r="C289" t="s">
        <v>44</v>
      </c>
      <c r="D289" t="s">
        <v>48</v>
      </c>
      <c r="E289" t="s">
        <v>52</v>
      </c>
      <c r="F289">
        <v>75566.2</v>
      </c>
    </row>
    <row r="290" spans="1:6" x14ac:dyDescent="0.3">
      <c r="A290">
        <v>2023</v>
      </c>
      <c r="B290">
        <v>4</v>
      </c>
      <c r="C290" t="s">
        <v>45</v>
      </c>
      <c r="D290" t="s">
        <v>48</v>
      </c>
      <c r="E290" t="s">
        <v>52</v>
      </c>
      <c r="F290">
        <v>43588.11</v>
      </c>
    </row>
    <row r="291" spans="1:6" x14ac:dyDescent="0.3">
      <c r="A291">
        <v>2023</v>
      </c>
      <c r="B291">
        <v>4</v>
      </c>
      <c r="C291" t="s">
        <v>37</v>
      </c>
      <c r="D291" t="s">
        <v>48</v>
      </c>
      <c r="E291" t="s">
        <v>53</v>
      </c>
      <c r="F291">
        <v>82600.210000000006</v>
      </c>
    </row>
    <row r="292" spans="1:6" x14ac:dyDescent="0.3">
      <c r="A292">
        <v>2023</v>
      </c>
      <c r="B292">
        <v>4</v>
      </c>
      <c r="C292" t="s">
        <v>40</v>
      </c>
      <c r="D292" t="s">
        <v>48</v>
      </c>
      <c r="E292" t="s">
        <v>53</v>
      </c>
      <c r="F292">
        <v>57222.11</v>
      </c>
    </row>
    <row r="293" spans="1:6" x14ac:dyDescent="0.3">
      <c r="A293">
        <v>2023</v>
      </c>
      <c r="B293">
        <v>4</v>
      </c>
      <c r="C293" t="s">
        <v>41</v>
      </c>
      <c r="D293" t="s">
        <v>48</v>
      </c>
      <c r="E293" t="s">
        <v>53</v>
      </c>
      <c r="F293">
        <v>36271.019999999997</v>
      </c>
    </row>
    <row r="294" spans="1:6" x14ac:dyDescent="0.3">
      <c r="A294">
        <v>2023</v>
      </c>
      <c r="B294">
        <v>4</v>
      </c>
      <c r="C294" t="s">
        <v>42</v>
      </c>
      <c r="D294" t="s">
        <v>48</v>
      </c>
      <c r="E294" t="s">
        <v>53</v>
      </c>
      <c r="F294">
        <v>45171.65</v>
      </c>
    </row>
    <row r="295" spans="1:6" x14ac:dyDescent="0.3">
      <c r="A295">
        <v>2023</v>
      </c>
      <c r="B295">
        <v>4</v>
      </c>
      <c r="C295" t="s">
        <v>43</v>
      </c>
      <c r="D295" t="s">
        <v>48</v>
      </c>
      <c r="E295" t="s">
        <v>53</v>
      </c>
      <c r="F295">
        <v>77045.67</v>
      </c>
    </row>
    <row r="296" spans="1:6" x14ac:dyDescent="0.3">
      <c r="A296">
        <v>2023</v>
      </c>
      <c r="B296">
        <v>4</v>
      </c>
      <c r="C296" t="s">
        <v>44</v>
      </c>
      <c r="D296" t="s">
        <v>48</v>
      </c>
      <c r="E296" t="s">
        <v>53</v>
      </c>
      <c r="F296">
        <v>45768.41</v>
      </c>
    </row>
    <row r="297" spans="1:6" x14ac:dyDescent="0.3">
      <c r="A297">
        <v>2023</v>
      </c>
      <c r="B297">
        <v>4</v>
      </c>
      <c r="C297" t="s">
        <v>45</v>
      </c>
      <c r="D297" t="s">
        <v>48</v>
      </c>
      <c r="E297" t="s">
        <v>53</v>
      </c>
      <c r="F297">
        <v>45853.36</v>
      </c>
    </row>
    <row r="298" spans="1:6" x14ac:dyDescent="0.3">
      <c r="A298">
        <v>2023</v>
      </c>
      <c r="B298">
        <v>4</v>
      </c>
      <c r="C298" t="s">
        <v>37</v>
      </c>
      <c r="D298" t="s">
        <v>48</v>
      </c>
      <c r="E298" t="s">
        <v>54</v>
      </c>
      <c r="F298">
        <v>82195.05</v>
      </c>
    </row>
    <row r="299" spans="1:6" x14ac:dyDescent="0.3">
      <c r="A299">
        <v>2023</v>
      </c>
      <c r="B299">
        <v>4</v>
      </c>
      <c r="C299" t="s">
        <v>40</v>
      </c>
      <c r="D299" t="s">
        <v>48</v>
      </c>
      <c r="E299" t="s">
        <v>54</v>
      </c>
      <c r="F299">
        <v>39510.800000000003</v>
      </c>
    </row>
    <row r="300" spans="1:6" x14ac:dyDescent="0.3">
      <c r="A300">
        <v>2023</v>
      </c>
      <c r="B300">
        <v>4</v>
      </c>
      <c r="C300" t="s">
        <v>41</v>
      </c>
      <c r="D300" t="s">
        <v>48</v>
      </c>
      <c r="E300" t="s">
        <v>54</v>
      </c>
      <c r="F300">
        <v>96002.2</v>
      </c>
    </row>
    <row r="301" spans="1:6" x14ac:dyDescent="0.3">
      <c r="A301">
        <v>2023</v>
      </c>
      <c r="B301">
        <v>4</v>
      </c>
      <c r="C301" t="s">
        <v>42</v>
      </c>
      <c r="D301" t="s">
        <v>48</v>
      </c>
      <c r="E301" t="s">
        <v>54</v>
      </c>
      <c r="F301">
        <v>16483.509999999998</v>
      </c>
    </row>
    <row r="302" spans="1:6" x14ac:dyDescent="0.3">
      <c r="A302">
        <v>2023</v>
      </c>
      <c r="B302">
        <v>4</v>
      </c>
      <c r="C302" t="s">
        <v>43</v>
      </c>
      <c r="D302" t="s">
        <v>48</v>
      </c>
      <c r="E302" t="s">
        <v>54</v>
      </c>
      <c r="F302">
        <v>117142.85</v>
      </c>
    </row>
    <row r="303" spans="1:6" x14ac:dyDescent="0.3">
      <c r="A303">
        <v>2023</v>
      </c>
      <c r="B303">
        <v>4</v>
      </c>
      <c r="C303" t="s">
        <v>44</v>
      </c>
      <c r="D303" t="s">
        <v>48</v>
      </c>
      <c r="E303" t="s">
        <v>54</v>
      </c>
      <c r="F303">
        <v>13410.11</v>
      </c>
    </row>
    <row r="304" spans="1:6" x14ac:dyDescent="0.3">
      <c r="A304">
        <v>2023</v>
      </c>
      <c r="B304">
        <v>4</v>
      </c>
      <c r="C304" t="s">
        <v>45</v>
      </c>
      <c r="D304" t="s">
        <v>48</v>
      </c>
      <c r="E304" t="s">
        <v>54</v>
      </c>
      <c r="F304">
        <v>111373.12</v>
      </c>
    </row>
    <row r="305" spans="1:6" x14ac:dyDescent="0.3">
      <c r="A305">
        <v>2023</v>
      </c>
      <c r="B305">
        <v>4</v>
      </c>
      <c r="C305" t="s">
        <v>37</v>
      </c>
      <c r="D305" t="s">
        <v>48</v>
      </c>
      <c r="E305" t="s">
        <v>55</v>
      </c>
      <c r="F305">
        <v>55151.4</v>
      </c>
    </row>
    <row r="306" spans="1:6" x14ac:dyDescent="0.3">
      <c r="A306">
        <v>2023</v>
      </c>
      <c r="B306">
        <v>4</v>
      </c>
      <c r="C306" t="s">
        <v>40</v>
      </c>
      <c r="D306" t="s">
        <v>48</v>
      </c>
      <c r="E306" t="s">
        <v>55</v>
      </c>
      <c r="F306">
        <v>20609.2</v>
      </c>
    </row>
    <row r="307" spans="1:6" x14ac:dyDescent="0.3">
      <c r="A307">
        <v>2023</v>
      </c>
      <c r="B307">
        <v>4</v>
      </c>
      <c r="C307" t="s">
        <v>41</v>
      </c>
      <c r="D307" t="s">
        <v>48</v>
      </c>
      <c r="E307" t="s">
        <v>55</v>
      </c>
      <c r="F307">
        <v>58226.28</v>
      </c>
    </row>
    <row r="308" spans="1:6" x14ac:dyDescent="0.3">
      <c r="A308">
        <v>2023</v>
      </c>
      <c r="B308">
        <v>4</v>
      </c>
      <c r="C308" t="s">
        <v>42</v>
      </c>
      <c r="D308" t="s">
        <v>48</v>
      </c>
      <c r="E308" t="s">
        <v>55</v>
      </c>
      <c r="F308">
        <v>32416.39</v>
      </c>
    </row>
    <row r="309" spans="1:6" x14ac:dyDescent="0.3">
      <c r="A309">
        <v>2023</v>
      </c>
      <c r="B309">
        <v>4</v>
      </c>
      <c r="C309" t="s">
        <v>43</v>
      </c>
      <c r="D309" t="s">
        <v>48</v>
      </c>
      <c r="E309" t="s">
        <v>55</v>
      </c>
      <c r="F309">
        <v>58724.99</v>
      </c>
    </row>
    <row r="310" spans="1:6" x14ac:dyDescent="0.3">
      <c r="A310">
        <v>2023</v>
      </c>
      <c r="B310">
        <v>4</v>
      </c>
      <c r="C310" t="s">
        <v>44</v>
      </c>
      <c r="D310" t="s">
        <v>48</v>
      </c>
      <c r="E310" t="s">
        <v>55</v>
      </c>
      <c r="F310">
        <v>107586.13</v>
      </c>
    </row>
    <row r="311" spans="1:6" x14ac:dyDescent="0.3">
      <c r="A311">
        <v>2023</v>
      </c>
      <c r="B311">
        <v>4</v>
      </c>
      <c r="C311" t="s">
        <v>45</v>
      </c>
      <c r="D311" t="s">
        <v>48</v>
      </c>
      <c r="E311" t="s">
        <v>55</v>
      </c>
      <c r="F311">
        <v>81044.86</v>
      </c>
    </row>
    <row r="312" spans="1:6" x14ac:dyDescent="0.3">
      <c r="A312">
        <v>2023</v>
      </c>
      <c r="B312">
        <v>4</v>
      </c>
      <c r="C312" t="s">
        <v>37</v>
      </c>
      <c r="D312" t="s">
        <v>48</v>
      </c>
      <c r="E312" t="s">
        <v>56</v>
      </c>
      <c r="F312">
        <v>114340.46</v>
      </c>
    </row>
    <row r="313" spans="1:6" x14ac:dyDescent="0.3">
      <c r="A313">
        <v>2023</v>
      </c>
      <c r="B313">
        <v>4</v>
      </c>
      <c r="C313" t="s">
        <v>40</v>
      </c>
      <c r="D313" t="s">
        <v>48</v>
      </c>
      <c r="E313" t="s">
        <v>56</v>
      </c>
      <c r="F313">
        <v>32523.42</v>
      </c>
    </row>
    <row r="314" spans="1:6" x14ac:dyDescent="0.3">
      <c r="A314">
        <v>2023</v>
      </c>
      <c r="B314">
        <v>4</v>
      </c>
      <c r="C314" t="s">
        <v>41</v>
      </c>
      <c r="D314" t="s">
        <v>48</v>
      </c>
      <c r="E314" t="s">
        <v>56</v>
      </c>
      <c r="F314">
        <v>123582.92</v>
      </c>
    </row>
    <row r="315" spans="1:6" x14ac:dyDescent="0.3">
      <c r="A315">
        <v>2023</v>
      </c>
      <c r="B315">
        <v>4</v>
      </c>
      <c r="C315" t="s">
        <v>42</v>
      </c>
      <c r="D315" t="s">
        <v>48</v>
      </c>
      <c r="E315" t="s">
        <v>56</v>
      </c>
      <c r="F315">
        <v>65904.289999999994</v>
      </c>
    </row>
    <row r="316" spans="1:6" x14ac:dyDescent="0.3">
      <c r="A316">
        <v>2023</v>
      </c>
      <c r="B316">
        <v>4</v>
      </c>
      <c r="C316" t="s">
        <v>43</v>
      </c>
      <c r="D316" t="s">
        <v>48</v>
      </c>
      <c r="E316" t="s">
        <v>56</v>
      </c>
      <c r="F316">
        <v>88460.78</v>
      </c>
    </row>
    <row r="317" spans="1:6" x14ac:dyDescent="0.3">
      <c r="A317">
        <v>2023</v>
      </c>
      <c r="B317">
        <v>4</v>
      </c>
      <c r="C317" t="s">
        <v>44</v>
      </c>
      <c r="D317" t="s">
        <v>48</v>
      </c>
      <c r="E317" t="s">
        <v>56</v>
      </c>
      <c r="F317">
        <v>38802.949999999997</v>
      </c>
    </row>
    <row r="318" spans="1:6" x14ac:dyDescent="0.3">
      <c r="A318">
        <v>2023</v>
      </c>
      <c r="B318">
        <v>4</v>
      </c>
      <c r="C318" t="s">
        <v>45</v>
      </c>
      <c r="D318" t="s">
        <v>48</v>
      </c>
      <c r="E318" t="s">
        <v>56</v>
      </c>
      <c r="F318">
        <v>46179.11</v>
      </c>
    </row>
    <row r="319" spans="1:6" x14ac:dyDescent="0.3">
      <c r="A319">
        <v>2023</v>
      </c>
      <c r="B319">
        <v>4</v>
      </c>
      <c r="C319" t="s">
        <v>37</v>
      </c>
      <c r="D319" t="s">
        <v>57</v>
      </c>
      <c r="E319" t="s">
        <v>58</v>
      </c>
      <c r="F319">
        <v>81645.929999999993</v>
      </c>
    </row>
    <row r="320" spans="1:6" x14ac:dyDescent="0.3">
      <c r="A320">
        <v>2023</v>
      </c>
      <c r="B320">
        <v>4</v>
      </c>
      <c r="C320" t="s">
        <v>37</v>
      </c>
      <c r="D320" t="s">
        <v>57</v>
      </c>
      <c r="E320" t="s">
        <v>59</v>
      </c>
      <c r="F320">
        <v>55074.89</v>
      </c>
    </row>
    <row r="321" spans="1:6" x14ac:dyDescent="0.3">
      <c r="A321">
        <v>2023</v>
      </c>
      <c r="B321">
        <v>4</v>
      </c>
      <c r="C321" t="s">
        <v>37</v>
      </c>
      <c r="D321" t="s">
        <v>57</v>
      </c>
      <c r="E321" t="s">
        <v>60</v>
      </c>
      <c r="F321">
        <v>18086.68</v>
      </c>
    </row>
    <row r="322" spans="1:6" x14ac:dyDescent="0.3">
      <c r="A322">
        <v>2023</v>
      </c>
      <c r="B322">
        <v>5</v>
      </c>
      <c r="C322" t="s">
        <v>37</v>
      </c>
      <c r="D322" t="s">
        <v>38</v>
      </c>
      <c r="E322" t="s">
        <v>39</v>
      </c>
      <c r="F322">
        <v>90757.7</v>
      </c>
    </row>
    <row r="323" spans="1:6" x14ac:dyDescent="0.3">
      <c r="A323">
        <v>2023</v>
      </c>
      <c r="B323">
        <v>5</v>
      </c>
      <c r="C323" t="s">
        <v>40</v>
      </c>
      <c r="D323" t="s">
        <v>38</v>
      </c>
      <c r="E323" t="s">
        <v>39</v>
      </c>
      <c r="F323">
        <v>31202.27</v>
      </c>
    </row>
    <row r="324" spans="1:6" x14ac:dyDescent="0.3">
      <c r="A324">
        <v>2023</v>
      </c>
      <c r="B324">
        <v>5</v>
      </c>
      <c r="C324" t="s">
        <v>41</v>
      </c>
      <c r="D324" t="s">
        <v>38</v>
      </c>
      <c r="E324" t="s">
        <v>39</v>
      </c>
      <c r="F324">
        <v>104667.73</v>
      </c>
    </row>
    <row r="325" spans="1:6" x14ac:dyDescent="0.3">
      <c r="A325">
        <v>2023</v>
      </c>
      <c r="B325">
        <v>5</v>
      </c>
      <c r="C325" t="s">
        <v>42</v>
      </c>
      <c r="D325" t="s">
        <v>38</v>
      </c>
      <c r="E325" t="s">
        <v>39</v>
      </c>
      <c r="F325">
        <v>35011.18</v>
      </c>
    </row>
    <row r="326" spans="1:6" x14ac:dyDescent="0.3">
      <c r="A326">
        <v>2023</v>
      </c>
      <c r="B326">
        <v>5</v>
      </c>
      <c r="C326" t="s">
        <v>43</v>
      </c>
      <c r="D326" t="s">
        <v>38</v>
      </c>
      <c r="E326" t="s">
        <v>39</v>
      </c>
      <c r="F326">
        <v>59080.88</v>
      </c>
    </row>
    <row r="327" spans="1:6" x14ac:dyDescent="0.3">
      <c r="A327">
        <v>2023</v>
      </c>
      <c r="B327">
        <v>5</v>
      </c>
      <c r="C327" t="s">
        <v>44</v>
      </c>
      <c r="D327" t="s">
        <v>38</v>
      </c>
      <c r="E327" t="s">
        <v>39</v>
      </c>
      <c r="F327">
        <v>93215.94</v>
      </c>
    </row>
    <row r="328" spans="1:6" x14ac:dyDescent="0.3">
      <c r="A328">
        <v>2023</v>
      </c>
      <c r="B328">
        <v>5</v>
      </c>
      <c r="C328" t="s">
        <v>45</v>
      </c>
      <c r="D328" t="s">
        <v>38</v>
      </c>
      <c r="E328" t="s">
        <v>39</v>
      </c>
      <c r="F328">
        <v>84547.24</v>
      </c>
    </row>
    <row r="329" spans="1:6" x14ac:dyDescent="0.3">
      <c r="A329">
        <v>2023</v>
      </c>
      <c r="B329">
        <v>5</v>
      </c>
      <c r="C329" t="s">
        <v>37</v>
      </c>
      <c r="D329" t="s">
        <v>38</v>
      </c>
      <c r="E329" t="s">
        <v>46</v>
      </c>
      <c r="F329">
        <v>112174.99</v>
      </c>
    </row>
    <row r="330" spans="1:6" x14ac:dyDescent="0.3">
      <c r="A330">
        <v>2023</v>
      </c>
      <c r="B330">
        <v>5</v>
      </c>
      <c r="C330" t="s">
        <v>40</v>
      </c>
      <c r="D330" t="s">
        <v>38</v>
      </c>
      <c r="E330" t="s">
        <v>46</v>
      </c>
      <c r="F330">
        <v>66699.3</v>
      </c>
    </row>
    <row r="331" spans="1:6" x14ac:dyDescent="0.3">
      <c r="A331">
        <v>2023</v>
      </c>
      <c r="B331">
        <v>5</v>
      </c>
      <c r="C331" t="s">
        <v>41</v>
      </c>
      <c r="D331" t="s">
        <v>38</v>
      </c>
      <c r="E331" t="s">
        <v>46</v>
      </c>
      <c r="F331">
        <v>89837.46</v>
      </c>
    </row>
    <row r="332" spans="1:6" x14ac:dyDescent="0.3">
      <c r="A332">
        <v>2023</v>
      </c>
      <c r="B332">
        <v>5</v>
      </c>
      <c r="C332" t="s">
        <v>42</v>
      </c>
      <c r="D332" t="s">
        <v>38</v>
      </c>
      <c r="E332" t="s">
        <v>46</v>
      </c>
      <c r="F332">
        <v>42789.919999999998</v>
      </c>
    </row>
    <row r="333" spans="1:6" x14ac:dyDescent="0.3">
      <c r="A333">
        <v>2023</v>
      </c>
      <c r="B333">
        <v>5</v>
      </c>
      <c r="C333" t="s">
        <v>43</v>
      </c>
      <c r="D333" t="s">
        <v>38</v>
      </c>
      <c r="E333" t="s">
        <v>46</v>
      </c>
      <c r="F333">
        <v>11806.88</v>
      </c>
    </row>
    <row r="334" spans="1:6" x14ac:dyDescent="0.3">
      <c r="A334">
        <v>2023</v>
      </c>
      <c r="B334">
        <v>5</v>
      </c>
      <c r="C334" t="s">
        <v>44</v>
      </c>
      <c r="D334" t="s">
        <v>38</v>
      </c>
      <c r="E334" t="s">
        <v>46</v>
      </c>
      <c r="F334">
        <v>14104.79</v>
      </c>
    </row>
    <row r="335" spans="1:6" x14ac:dyDescent="0.3">
      <c r="A335">
        <v>2023</v>
      </c>
      <c r="B335">
        <v>5</v>
      </c>
      <c r="C335" t="s">
        <v>45</v>
      </c>
      <c r="D335" t="s">
        <v>38</v>
      </c>
      <c r="E335" t="s">
        <v>46</v>
      </c>
      <c r="F335">
        <v>53258.26</v>
      </c>
    </row>
    <row r="336" spans="1:6" x14ac:dyDescent="0.3">
      <c r="A336">
        <v>2023</v>
      </c>
      <c r="B336">
        <v>5</v>
      </c>
      <c r="C336" t="s">
        <v>37</v>
      </c>
      <c r="D336" t="s">
        <v>38</v>
      </c>
      <c r="E336" t="s">
        <v>47</v>
      </c>
      <c r="F336">
        <v>126103.82</v>
      </c>
    </row>
    <row r="337" spans="1:6" x14ac:dyDescent="0.3">
      <c r="A337">
        <v>2023</v>
      </c>
      <c r="B337">
        <v>5</v>
      </c>
      <c r="C337" t="s">
        <v>40</v>
      </c>
      <c r="D337" t="s">
        <v>38</v>
      </c>
      <c r="E337" t="s">
        <v>47</v>
      </c>
      <c r="F337">
        <v>30295.98</v>
      </c>
    </row>
    <row r="338" spans="1:6" x14ac:dyDescent="0.3">
      <c r="A338">
        <v>2023</v>
      </c>
      <c r="B338">
        <v>5</v>
      </c>
      <c r="C338" t="s">
        <v>41</v>
      </c>
      <c r="D338" t="s">
        <v>38</v>
      </c>
      <c r="E338" t="s">
        <v>47</v>
      </c>
      <c r="F338">
        <v>104559.66</v>
      </c>
    </row>
    <row r="339" spans="1:6" x14ac:dyDescent="0.3">
      <c r="A339">
        <v>2023</v>
      </c>
      <c r="B339">
        <v>5</v>
      </c>
      <c r="C339" t="s">
        <v>42</v>
      </c>
      <c r="D339" t="s">
        <v>38</v>
      </c>
      <c r="E339" t="s">
        <v>47</v>
      </c>
      <c r="F339">
        <v>33174.65</v>
      </c>
    </row>
    <row r="340" spans="1:6" x14ac:dyDescent="0.3">
      <c r="A340">
        <v>2023</v>
      </c>
      <c r="B340">
        <v>5</v>
      </c>
      <c r="C340" t="s">
        <v>43</v>
      </c>
      <c r="D340" t="s">
        <v>38</v>
      </c>
      <c r="E340" t="s">
        <v>47</v>
      </c>
      <c r="F340">
        <v>24981.19</v>
      </c>
    </row>
    <row r="341" spans="1:6" x14ac:dyDescent="0.3">
      <c r="A341">
        <v>2023</v>
      </c>
      <c r="B341">
        <v>5</v>
      </c>
      <c r="C341" t="s">
        <v>44</v>
      </c>
      <c r="D341" t="s">
        <v>38</v>
      </c>
      <c r="E341" t="s">
        <v>47</v>
      </c>
      <c r="F341">
        <v>38527.51</v>
      </c>
    </row>
    <row r="342" spans="1:6" x14ac:dyDescent="0.3">
      <c r="A342">
        <v>2023</v>
      </c>
      <c r="B342">
        <v>5</v>
      </c>
      <c r="C342" t="s">
        <v>45</v>
      </c>
      <c r="D342" t="s">
        <v>38</v>
      </c>
      <c r="E342" t="s">
        <v>47</v>
      </c>
      <c r="F342">
        <v>116028.82</v>
      </c>
    </row>
    <row r="343" spans="1:6" x14ac:dyDescent="0.3">
      <c r="A343">
        <v>2023</v>
      </c>
      <c r="B343">
        <v>5</v>
      </c>
      <c r="C343" t="s">
        <v>37</v>
      </c>
      <c r="D343" t="s">
        <v>48</v>
      </c>
      <c r="E343" t="s">
        <v>49</v>
      </c>
      <c r="F343">
        <v>41338.31</v>
      </c>
    </row>
    <row r="344" spans="1:6" x14ac:dyDescent="0.3">
      <c r="A344">
        <v>2023</v>
      </c>
      <c r="B344">
        <v>5</v>
      </c>
      <c r="C344" t="s">
        <v>40</v>
      </c>
      <c r="D344" t="s">
        <v>48</v>
      </c>
      <c r="E344" t="s">
        <v>49</v>
      </c>
      <c r="F344">
        <v>82340.960000000006</v>
      </c>
    </row>
    <row r="345" spans="1:6" x14ac:dyDescent="0.3">
      <c r="A345">
        <v>2023</v>
      </c>
      <c r="B345">
        <v>5</v>
      </c>
      <c r="C345" t="s">
        <v>41</v>
      </c>
      <c r="D345" t="s">
        <v>48</v>
      </c>
      <c r="E345" t="s">
        <v>49</v>
      </c>
      <c r="F345">
        <v>40794.629999999997</v>
      </c>
    </row>
    <row r="346" spans="1:6" x14ac:dyDescent="0.3">
      <c r="A346">
        <v>2023</v>
      </c>
      <c r="B346">
        <v>5</v>
      </c>
      <c r="C346" t="s">
        <v>42</v>
      </c>
      <c r="D346" t="s">
        <v>48</v>
      </c>
      <c r="E346" t="s">
        <v>49</v>
      </c>
      <c r="F346">
        <v>49697.56</v>
      </c>
    </row>
    <row r="347" spans="1:6" x14ac:dyDescent="0.3">
      <c r="A347">
        <v>2023</v>
      </c>
      <c r="B347">
        <v>5</v>
      </c>
      <c r="C347" t="s">
        <v>43</v>
      </c>
      <c r="D347" t="s">
        <v>48</v>
      </c>
      <c r="E347" t="s">
        <v>49</v>
      </c>
      <c r="F347">
        <v>63329.57</v>
      </c>
    </row>
    <row r="348" spans="1:6" x14ac:dyDescent="0.3">
      <c r="A348">
        <v>2023</v>
      </c>
      <c r="B348">
        <v>5</v>
      </c>
      <c r="C348" t="s">
        <v>44</v>
      </c>
      <c r="D348" t="s">
        <v>48</v>
      </c>
      <c r="E348" t="s">
        <v>49</v>
      </c>
      <c r="F348">
        <v>71235.5</v>
      </c>
    </row>
    <row r="349" spans="1:6" x14ac:dyDescent="0.3">
      <c r="A349">
        <v>2023</v>
      </c>
      <c r="B349">
        <v>5</v>
      </c>
      <c r="C349" t="s">
        <v>45</v>
      </c>
      <c r="D349" t="s">
        <v>48</v>
      </c>
      <c r="E349" t="s">
        <v>49</v>
      </c>
      <c r="F349">
        <v>80259.88</v>
      </c>
    </row>
    <row r="350" spans="1:6" x14ac:dyDescent="0.3">
      <c r="A350">
        <v>2023</v>
      </c>
      <c r="B350">
        <v>5</v>
      </c>
      <c r="C350" t="s">
        <v>37</v>
      </c>
      <c r="D350" t="s">
        <v>48</v>
      </c>
      <c r="E350" t="s">
        <v>50</v>
      </c>
      <c r="F350">
        <v>82665.61</v>
      </c>
    </row>
    <row r="351" spans="1:6" x14ac:dyDescent="0.3">
      <c r="A351">
        <v>2023</v>
      </c>
      <c r="B351">
        <v>5</v>
      </c>
      <c r="C351" t="s">
        <v>40</v>
      </c>
      <c r="D351" t="s">
        <v>48</v>
      </c>
      <c r="E351" t="s">
        <v>50</v>
      </c>
      <c r="F351">
        <v>69883.27</v>
      </c>
    </row>
    <row r="352" spans="1:6" x14ac:dyDescent="0.3">
      <c r="A352">
        <v>2023</v>
      </c>
      <c r="B352">
        <v>5</v>
      </c>
      <c r="C352" t="s">
        <v>41</v>
      </c>
      <c r="D352" t="s">
        <v>48</v>
      </c>
      <c r="E352" t="s">
        <v>50</v>
      </c>
      <c r="F352">
        <v>100685.42</v>
      </c>
    </row>
    <row r="353" spans="1:6" x14ac:dyDescent="0.3">
      <c r="A353">
        <v>2023</v>
      </c>
      <c r="B353">
        <v>5</v>
      </c>
      <c r="C353" t="s">
        <v>42</v>
      </c>
      <c r="D353" t="s">
        <v>48</v>
      </c>
      <c r="E353" t="s">
        <v>50</v>
      </c>
      <c r="F353">
        <v>124229.06</v>
      </c>
    </row>
    <row r="354" spans="1:6" x14ac:dyDescent="0.3">
      <c r="A354">
        <v>2023</v>
      </c>
      <c r="B354">
        <v>5</v>
      </c>
      <c r="C354" t="s">
        <v>43</v>
      </c>
      <c r="D354" t="s">
        <v>48</v>
      </c>
      <c r="E354" t="s">
        <v>50</v>
      </c>
      <c r="F354">
        <v>41389.230000000003</v>
      </c>
    </row>
    <row r="355" spans="1:6" x14ac:dyDescent="0.3">
      <c r="A355">
        <v>2023</v>
      </c>
      <c r="B355">
        <v>5</v>
      </c>
      <c r="C355" t="s">
        <v>44</v>
      </c>
      <c r="D355" t="s">
        <v>48</v>
      </c>
      <c r="E355" t="s">
        <v>50</v>
      </c>
      <c r="F355">
        <v>8323.26</v>
      </c>
    </row>
    <row r="356" spans="1:6" x14ac:dyDescent="0.3">
      <c r="A356">
        <v>2023</v>
      </c>
      <c r="B356">
        <v>5</v>
      </c>
      <c r="C356" t="s">
        <v>45</v>
      </c>
      <c r="D356" t="s">
        <v>48</v>
      </c>
      <c r="E356" t="s">
        <v>50</v>
      </c>
      <c r="F356">
        <v>10647.05</v>
      </c>
    </row>
    <row r="357" spans="1:6" x14ac:dyDescent="0.3">
      <c r="A357">
        <v>2023</v>
      </c>
      <c r="B357">
        <v>5</v>
      </c>
      <c r="C357" t="s">
        <v>37</v>
      </c>
      <c r="D357" t="s">
        <v>48</v>
      </c>
      <c r="E357" t="s">
        <v>51</v>
      </c>
      <c r="F357">
        <v>25901.03</v>
      </c>
    </row>
    <row r="358" spans="1:6" x14ac:dyDescent="0.3">
      <c r="A358">
        <v>2023</v>
      </c>
      <c r="B358">
        <v>5</v>
      </c>
      <c r="C358" t="s">
        <v>40</v>
      </c>
      <c r="D358" t="s">
        <v>48</v>
      </c>
      <c r="E358" t="s">
        <v>51</v>
      </c>
      <c r="F358">
        <v>51596.49</v>
      </c>
    </row>
    <row r="359" spans="1:6" x14ac:dyDescent="0.3">
      <c r="A359">
        <v>2023</v>
      </c>
      <c r="B359">
        <v>5</v>
      </c>
      <c r="C359" t="s">
        <v>41</v>
      </c>
      <c r="D359" t="s">
        <v>48</v>
      </c>
      <c r="E359" t="s">
        <v>51</v>
      </c>
      <c r="F359">
        <v>102352.47</v>
      </c>
    </row>
    <row r="360" spans="1:6" x14ac:dyDescent="0.3">
      <c r="A360">
        <v>2023</v>
      </c>
      <c r="B360">
        <v>5</v>
      </c>
      <c r="C360" t="s">
        <v>42</v>
      </c>
      <c r="D360" t="s">
        <v>48</v>
      </c>
      <c r="E360" t="s">
        <v>51</v>
      </c>
      <c r="F360">
        <v>33021.050000000003</v>
      </c>
    </row>
    <row r="361" spans="1:6" x14ac:dyDescent="0.3">
      <c r="A361">
        <v>2023</v>
      </c>
      <c r="B361">
        <v>5</v>
      </c>
      <c r="C361" t="s">
        <v>43</v>
      </c>
      <c r="D361" t="s">
        <v>48</v>
      </c>
      <c r="E361" t="s">
        <v>51</v>
      </c>
      <c r="F361">
        <v>18032.759999999998</v>
      </c>
    </row>
    <row r="362" spans="1:6" x14ac:dyDescent="0.3">
      <c r="A362">
        <v>2023</v>
      </c>
      <c r="B362">
        <v>5</v>
      </c>
      <c r="C362" t="s">
        <v>44</v>
      </c>
      <c r="D362" t="s">
        <v>48</v>
      </c>
      <c r="E362" t="s">
        <v>51</v>
      </c>
      <c r="F362">
        <v>64880.61</v>
      </c>
    </row>
    <row r="363" spans="1:6" x14ac:dyDescent="0.3">
      <c r="A363">
        <v>2023</v>
      </c>
      <c r="B363">
        <v>5</v>
      </c>
      <c r="C363" t="s">
        <v>45</v>
      </c>
      <c r="D363" t="s">
        <v>48</v>
      </c>
      <c r="E363" t="s">
        <v>51</v>
      </c>
      <c r="F363">
        <v>133866.26</v>
      </c>
    </row>
    <row r="364" spans="1:6" x14ac:dyDescent="0.3">
      <c r="A364">
        <v>2023</v>
      </c>
      <c r="B364">
        <v>5</v>
      </c>
      <c r="C364" t="s">
        <v>37</v>
      </c>
      <c r="D364" t="s">
        <v>48</v>
      </c>
      <c r="E364" t="s">
        <v>52</v>
      </c>
      <c r="F364">
        <v>90837.3</v>
      </c>
    </row>
    <row r="365" spans="1:6" x14ac:dyDescent="0.3">
      <c r="A365">
        <v>2023</v>
      </c>
      <c r="B365">
        <v>5</v>
      </c>
      <c r="C365" t="s">
        <v>40</v>
      </c>
      <c r="D365" t="s">
        <v>48</v>
      </c>
      <c r="E365" t="s">
        <v>52</v>
      </c>
      <c r="F365">
        <v>53635.81</v>
      </c>
    </row>
    <row r="366" spans="1:6" x14ac:dyDescent="0.3">
      <c r="A366">
        <v>2023</v>
      </c>
      <c r="B366">
        <v>5</v>
      </c>
      <c r="C366" t="s">
        <v>41</v>
      </c>
      <c r="D366" t="s">
        <v>48</v>
      </c>
      <c r="E366" t="s">
        <v>52</v>
      </c>
      <c r="F366">
        <v>60840.87</v>
      </c>
    </row>
    <row r="367" spans="1:6" x14ac:dyDescent="0.3">
      <c r="A367">
        <v>2023</v>
      </c>
      <c r="B367">
        <v>5</v>
      </c>
      <c r="C367" t="s">
        <v>42</v>
      </c>
      <c r="D367" t="s">
        <v>48</v>
      </c>
      <c r="E367" t="s">
        <v>52</v>
      </c>
      <c r="F367">
        <v>50820.41</v>
      </c>
    </row>
    <row r="368" spans="1:6" x14ac:dyDescent="0.3">
      <c r="A368">
        <v>2023</v>
      </c>
      <c r="B368">
        <v>5</v>
      </c>
      <c r="C368" t="s">
        <v>43</v>
      </c>
      <c r="D368" t="s">
        <v>48</v>
      </c>
      <c r="E368" t="s">
        <v>52</v>
      </c>
      <c r="F368">
        <v>32057.71</v>
      </c>
    </row>
    <row r="369" spans="1:6" x14ac:dyDescent="0.3">
      <c r="A369">
        <v>2023</v>
      </c>
      <c r="B369">
        <v>5</v>
      </c>
      <c r="C369" t="s">
        <v>44</v>
      </c>
      <c r="D369" t="s">
        <v>48</v>
      </c>
      <c r="E369" t="s">
        <v>52</v>
      </c>
      <c r="F369">
        <v>42854.9</v>
      </c>
    </row>
    <row r="370" spans="1:6" x14ac:dyDescent="0.3">
      <c r="A370">
        <v>2023</v>
      </c>
      <c r="B370">
        <v>5</v>
      </c>
      <c r="C370" t="s">
        <v>45</v>
      </c>
      <c r="D370" t="s">
        <v>48</v>
      </c>
      <c r="E370" t="s">
        <v>52</v>
      </c>
      <c r="F370">
        <v>58037.77</v>
      </c>
    </row>
    <row r="371" spans="1:6" x14ac:dyDescent="0.3">
      <c r="A371">
        <v>2023</v>
      </c>
      <c r="B371">
        <v>5</v>
      </c>
      <c r="C371" t="s">
        <v>37</v>
      </c>
      <c r="D371" t="s">
        <v>48</v>
      </c>
      <c r="E371" t="s">
        <v>53</v>
      </c>
      <c r="F371">
        <v>69915.34</v>
      </c>
    </row>
    <row r="372" spans="1:6" x14ac:dyDescent="0.3">
      <c r="A372">
        <v>2023</v>
      </c>
      <c r="B372">
        <v>5</v>
      </c>
      <c r="C372" t="s">
        <v>40</v>
      </c>
      <c r="D372" t="s">
        <v>48</v>
      </c>
      <c r="E372" t="s">
        <v>53</v>
      </c>
      <c r="F372">
        <v>49268.35</v>
      </c>
    </row>
    <row r="373" spans="1:6" x14ac:dyDescent="0.3">
      <c r="A373">
        <v>2023</v>
      </c>
      <c r="B373">
        <v>5</v>
      </c>
      <c r="C373" t="s">
        <v>41</v>
      </c>
      <c r="D373" t="s">
        <v>48</v>
      </c>
      <c r="E373" t="s">
        <v>53</v>
      </c>
      <c r="F373">
        <v>93819.67</v>
      </c>
    </row>
    <row r="374" spans="1:6" x14ac:dyDescent="0.3">
      <c r="A374">
        <v>2023</v>
      </c>
      <c r="B374">
        <v>5</v>
      </c>
      <c r="C374" t="s">
        <v>42</v>
      </c>
      <c r="D374" t="s">
        <v>48</v>
      </c>
      <c r="E374" t="s">
        <v>53</v>
      </c>
      <c r="F374">
        <v>111178.71</v>
      </c>
    </row>
    <row r="375" spans="1:6" x14ac:dyDescent="0.3">
      <c r="A375">
        <v>2023</v>
      </c>
      <c r="B375">
        <v>5</v>
      </c>
      <c r="C375" t="s">
        <v>43</v>
      </c>
      <c r="D375" t="s">
        <v>48</v>
      </c>
      <c r="E375" t="s">
        <v>53</v>
      </c>
      <c r="F375">
        <v>43248.95</v>
      </c>
    </row>
    <row r="376" spans="1:6" x14ac:dyDescent="0.3">
      <c r="A376">
        <v>2023</v>
      </c>
      <c r="B376">
        <v>5</v>
      </c>
      <c r="C376" t="s">
        <v>44</v>
      </c>
      <c r="D376" t="s">
        <v>48</v>
      </c>
      <c r="E376" t="s">
        <v>53</v>
      </c>
      <c r="F376">
        <v>34320.46</v>
      </c>
    </row>
    <row r="377" spans="1:6" x14ac:dyDescent="0.3">
      <c r="A377">
        <v>2023</v>
      </c>
      <c r="B377">
        <v>5</v>
      </c>
      <c r="C377" t="s">
        <v>45</v>
      </c>
      <c r="D377" t="s">
        <v>48</v>
      </c>
      <c r="E377" t="s">
        <v>53</v>
      </c>
      <c r="F377">
        <v>40159.78</v>
      </c>
    </row>
    <row r="378" spans="1:6" x14ac:dyDescent="0.3">
      <c r="A378">
        <v>2023</v>
      </c>
      <c r="B378">
        <v>5</v>
      </c>
      <c r="C378" t="s">
        <v>37</v>
      </c>
      <c r="D378" t="s">
        <v>48</v>
      </c>
      <c r="E378" t="s">
        <v>54</v>
      </c>
      <c r="F378">
        <v>29094.94</v>
      </c>
    </row>
    <row r="379" spans="1:6" x14ac:dyDescent="0.3">
      <c r="A379">
        <v>2023</v>
      </c>
      <c r="B379">
        <v>5</v>
      </c>
      <c r="C379" t="s">
        <v>40</v>
      </c>
      <c r="D379" t="s">
        <v>48</v>
      </c>
      <c r="E379" t="s">
        <v>54</v>
      </c>
      <c r="F379">
        <v>68038.69</v>
      </c>
    </row>
    <row r="380" spans="1:6" x14ac:dyDescent="0.3">
      <c r="A380">
        <v>2023</v>
      </c>
      <c r="B380">
        <v>5</v>
      </c>
      <c r="C380" t="s">
        <v>41</v>
      </c>
      <c r="D380" t="s">
        <v>48</v>
      </c>
      <c r="E380" t="s">
        <v>54</v>
      </c>
      <c r="F380">
        <v>57491.54</v>
      </c>
    </row>
    <row r="381" spans="1:6" x14ac:dyDescent="0.3">
      <c r="A381">
        <v>2023</v>
      </c>
      <c r="B381">
        <v>5</v>
      </c>
      <c r="C381" t="s">
        <v>42</v>
      </c>
      <c r="D381" t="s">
        <v>48</v>
      </c>
      <c r="E381" t="s">
        <v>54</v>
      </c>
      <c r="F381">
        <v>24442.99</v>
      </c>
    </row>
    <row r="382" spans="1:6" x14ac:dyDescent="0.3">
      <c r="A382">
        <v>2023</v>
      </c>
      <c r="B382">
        <v>5</v>
      </c>
      <c r="C382" t="s">
        <v>43</v>
      </c>
      <c r="D382" t="s">
        <v>48</v>
      </c>
      <c r="E382" t="s">
        <v>54</v>
      </c>
      <c r="F382">
        <v>57734.02</v>
      </c>
    </row>
    <row r="383" spans="1:6" x14ac:dyDescent="0.3">
      <c r="A383">
        <v>2023</v>
      </c>
      <c r="B383">
        <v>5</v>
      </c>
      <c r="C383" t="s">
        <v>44</v>
      </c>
      <c r="D383" t="s">
        <v>48</v>
      </c>
      <c r="E383" t="s">
        <v>54</v>
      </c>
      <c r="F383">
        <v>136886.63</v>
      </c>
    </row>
    <row r="384" spans="1:6" x14ac:dyDescent="0.3">
      <c r="A384">
        <v>2023</v>
      </c>
      <c r="B384">
        <v>5</v>
      </c>
      <c r="C384" t="s">
        <v>45</v>
      </c>
      <c r="D384" t="s">
        <v>48</v>
      </c>
      <c r="E384" t="s">
        <v>54</v>
      </c>
      <c r="F384">
        <v>77273.11</v>
      </c>
    </row>
    <row r="385" spans="1:6" x14ac:dyDescent="0.3">
      <c r="A385">
        <v>2023</v>
      </c>
      <c r="B385">
        <v>5</v>
      </c>
      <c r="C385" t="s">
        <v>37</v>
      </c>
      <c r="D385" t="s">
        <v>48</v>
      </c>
      <c r="E385" t="s">
        <v>55</v>
      </c>
      <c r="F385">
        <v>83072.539999999994</v>
      </c>
    </row>
    <row r="386" spans="1:6" x14ac:dyDescent="0.3">
      <c r="A386">
        <v>2023</v>
      </c>
      <c r="B386">
        <v>5</v>
      </c>
      <c r="C386" t="s">
        <v>40</v>
      </c>
      <c r="D386" t="s">
        <v>48</v>
      </c>
      <c r="E386" t="s">
        <v>55</v>
      </c>
      <c r="F386">
        <v>63728</v>
      </c>
    </row>
    <row r="387" spans="1:6" x14ac:dyDescent="0.3">
      <c r="A387">
        <v>2023</v>
      </c>
      <c r="B387">
        <v>5</v>
      </c>
      <c r="C387" t="s">
        <v>41</v>
      </c>
      <c r="D387" t="s">
        <v>48</v>
      </c>
      <c r="E387" t="s">
        <v>55</v>
      </c>
      <c r="F387">
        <v>88911.38</v>
      </c>
    </row>
    <row r="388" spans="1:6" x14ac:dyDescent="0.3">
      <c r="A388">
        <v>2023</v>
      </c>
      <c r="B388">
        <v>5</v>
      </c>
      <c r="C388" t="s">
        <v>42</v>
      </c>
      <c r="D388" t="s">
        <v>48</v>
      </c>
      <c r="E388" t="s">
        <v>55</v>
      </c>
      <c r="F388">
        <v>66070.48</v>
      </c>
    </row>
    <row r="389" spans="1:6" x14ac:dyDescent="0.3">
      <c r="A389">
        <v>2023</v>
      </c>
      <c r="B389">
        <v>5</v>
      </c>
      <c r="C389" t="s">
        <v>43</v>
      </c>
      <c r="D389" t="s">
        <v>48</v>
      </c>
      <c r="E389" t="s">
        <v>55</v>
      </c>
      <c r="F389">
        <v>27061.8</v>
      </c>
    </row>
    <row r="390" spans="1:6" x14ac:dyDescent="0.3">
      <c r="A390">
        <v>2023</v>
      </c>
      <c r="B390">
        <v>5</v>
      </c>
      <c r="C390" t="s">
        <v>44</v>
      </c>
      <c r="D390" t="s">
        <v>48</v>
      </c>
      <c r="E390" t="s">
        <v>55</v>
      </c>
      <c r="F390">
        <v>82421.820000000007</v>
      </c>
    </row>
    <row r="391" spans="1:6" x14ac:dyDescent="0.3">
      <c r="A391">
        <v>2023</v>
      </c>
      <c r="B391">
        <v>5</v>
      </c>
      <c r="C391" t="s">
        <v>45</v>
      </c>
      <c r="D391" t="s">
        <v>48</v>
      </c>
      <c r="E391" t="s">
        <v>55</v>
      </c>
      <c r="F391">
        <v>40677.74</v>
      </c>
    </row>
    <row r="392" spans="1:6" x14ac:dyDescent="0.3">
      <c r="A392">
        <v>2023</v>
      </c>
      <c r="B392">
        <v>5</v>
      </c>
      <c r="C392" t="s">
        <v>37</v>
      </c>
      <c r="D392" t="s">
        <v>48</v>
      </c>
      <c r="E392" t="s">
        <v>56</v>
      </c>
      <c r="F392">
        <v>127836.39</v>
      </c>
    </row>
    <row r="393" spans="1:6" x14ac:dyDescent="0.3">
      <c r="A393">
        <v>2023</v>
      </c>
      <c r="B393">
        <v>5</v>
      </c>
      <c r="C393" t="s">
        <v>40</v>
      </c>
      <c r="D393" t="s">
        <v>48</v>
      </c>
      <c r="E393" t="s">
        <v>56</v>
      </c>
      <c r="F393">
        <v>37180.21</v>
      </c>
    </row>
    <row r="394" spans="1:6" x14ac:dyDescent="0.3">
      <c r="A394">
        <v>2023</v>
      </c>
      <c r="B394">
        <v>5</v>
      </c>
      <c r="C394" t="s">
        <v>41</v>
      </c>
      <c r="D394" t="s">
        <v>48</v>
      </c>
      <c r="E394" t="s">
        <v>56</v>
      </c>
      <c r="F394">
        <v>74944.639999999999</v>
      </c>
    </row>
    <row r="395" spans="1:6" x14ac:dyDescent="0.3">
      <c r="A395">
        <v>2023</v>
      </c>
      <c r="B395">
        <v>5</v>
      </c>
      <c r="C395" t="s">
        <v>42</v>
      </c>
      <c r="D395" t="s">
        <v>48</v>
      </c>
      <c r="E395" t="s">
        <v>56</v>
      </c>
      <c r="F395">
        <v>41595.519999999997</v>
      </c>
    </row>
    <row r="396" spans="1:6" x14ac:dyDescent="0.3">
      <c r="A396">
        <v>2023</v>
      </c>
      <c r="B396">
        <v>5</v>
      </c>
      <c r="C396" t="s">
        <v>43</v>
      </c>
      <c r="D396" t="s">
        <v>48</v>
      </c>
      <c r="E396" t="s">
        <v>56</v>
      </c>
      <c r="F396">
        <v>106971.52</v>
      </c>
    </row>
    <row r="397" spans="1:6" x14ac:dyDescent="0.3">
      <c r="A397">
        <v>2023</v>
      </c>
      <c r="B397">
        <v>5</v>
      </c>
      <c r="C397" t="s">
        <v>44</v>
      </c>
      <c r="D397" t="s">
        <v>48</v>
      </c>
      <c r="E397" t="s">
        <v>56</v>
      </c>
      <c r="F397">
        <v>17455.14</v>
      </c>
    </row>
    <row r="398" spans="1:6" x14ac:dyDescent="0.3">
      <c r="A398">
        <v>2023</v>
      </c>
      <c r="B398">
        <v>5</v>
      </c>
      <c r="C398" t="s">
        <v>45</v>
      </c>
      <c r="D398" t="s">
        <v>48</v>
      </c>
      <c r="E398" t="s">
        <v>56</v>
      </c>
      <c r="F398">
        <v>52768.93</v>
      </c>
    </row>
    <row r="399" spans="1:6" x14ac:dyDescent="0.3">
      <c r="A399">
        <v>2023</v>
      </c>
      <c r="B399">
        <v>5</v>
      </c>
      <c r="C399" t="s">
        <v>37</v>
      </c>
      <c r="D399" t="s">
        <v>57</v>
      </c>
      <c r="E399" t="s">
        <v>58</v>
      </c>
      <c r="F399">
        <v>68249.710000000006</v>
      </c>
    </row>
    <row r="400" spans="1:6" x14ac:dyDescent="0.3">
      <c r="A400">
        <v>2023</v>
      </c>
      <c r="B400">
        <v>5</v>
      </c>
      <c r="C400" t="s">
        <v>37</v>
      </c>
      <c r="D400" t="s">
        <v>57</v>
      </c>
      <c r="E400" t="s">
        <v>59</v>
      </c>
      <c r="F400">
        <v>28394.55</v>
      </c>
    </row>
    <row r="401" spans="1:6" x14ac:dyDescent="0.3">
      <c r="A401">
        <v>2023</v>
      </c>
      <c r="B401">
        <v>5</v>
      </c>
      <c r="C401" t="s">
        <v>37</v>
      </c>
      <c r="D401" t="s">
        <v>57</v>
      </c>
      <c r="E401" t="s">
        <v>60</v>
      </c>
      <c r="F401">
        <v>121365.63</v>
      </c>
    </row>
    <row r="402" spans="1:6" x14ac:dyDescent="0.3">
      <c r="A402">
        <v>2023</v>
      </c>
      <c r="B402">
        <v>6</v>
      </c>
      <c r="C402" t="s">
        <v>37</v>
      </c>
      <c r="D402" t="s">
        <v>38</v>
      </c>
      <c r="E402" t="s">
        <v>39</v>
      </c>
      <c r="F402">
        <v>24901.45</v>
      </c>
    </row>
    <row r="403" spans="1:6" x14ac:dyDescent="0.3">
      <c r="A403">
        <v>2023</v>
      </c>
      <c r="B403">
        <v>6</v>
      </c>
      <c r="C403" t="s">
        <v>40</v>
      </c>
      <c r="D403" t="s">
        <v>38</v>
      </c>
      <c r="E403" t="s">
        <v>39</v>
      </c>
      <c r="F403">
        <v>19240.43</v>
      </c>
    </row>
    <row r="404" spans="1:6" x14ac:dyDescent="0.3">
      <c r="A404">
        <v>2023</v>
      </c>
      <c r="B404">
        <v>6</v>
      </c>
      <c r="C404" t="s">
        <v>41</v>
      </c>
      <c r="D404" t="s">
        <v>38</v>
      </c>
      <c r="E404" t="s">
        <v>39</v>
      </c>
      <c r="F404">
        <v>113734.62</v>
      </c>
    </row>
    <row r="405" spans="1:6" x14ac:dyDescent="0.3">
      <c r="A405">
        <v>2023</v>
      </c>
      <c r="B405">
        <v>6</v>
      </c>
      <c r="C405" t="s">
        <v>42</v>
      </c>
      <c r="D405" t="s">
        <v>38</v>
      </c>
      <c r="E405" t="s">
        <v>39</v>
      </c>
      <c r="F405">
        <v>38402.35</v>
      </c>
    </row>
    <row r="406" spans="1:6" x14ac:dyDescent="0.3">
      <c r="A406">
        <v>2023</v>
      </c>
      <c r="B406">
        <v>6</v>
      </c>
      <c r="C406" t="s">
        <v>43</v>
      </c>
      <c r="D406" t="s">
        <v>38</v>
      </c>
      <c r="E406" t="s">
        <v>39</v>
      </c>
      <c r="F406">
        <v>87618.45</v>
      </c>
    </row>
    <row r="407" spans="1:6" x14ac:dyDescent="0.3">
      <c r="A407">
        <v>2023</v>
      </c>
      <c r="B407">
        <v>6</v>
      </c>
      <c r="C407" t="s">
        <v>44</v>
      </c>
      <c r="D407" t="s">
        <v>38</v>
      </c>
      <c r="E407" t="s">
        <v>39</v>
      </c>
      <c r="F407">
        <v>50046.2</v>
      </c>
    </row>
    <row r="408" spans="1:6" x14ac:dyDescent="0.3">
      <c r="A408">
        <v>2023</v>
      </c>
      <c r="B408">
        <v>6</v>
      </c>
      <c r="C408" t="s">
        <v>45</v>
      </c>
      <c r="D408" t="s">
        <v>38</v>
      </c>
      <c r="E408" t="s">
        <v>39</v>
      </c>
      <c r="F408">
        <v>52976.27</v>
      </c>
    </row>
    <row r="409" spans="1:6" x14ac:dyDescent="0.3">
      <c r="A409">
        <v>2023</v>
      </c>
      <c r="B409">
        <v>6</v>
      </c>
      <c r="C409" t="s">
        <v>37</v>
      </c>
      <c r="D409" t="s">
        <v>38</v>
      </c>
      <c r="E409" t="s">
        <v>46</v>
      </c>
      <c r="F409">
        <v>69372.42</v>
      </c>
    </row>
    <row r="410" spans="1:6" x14ac:dyDescent="0.3">
      <c r="A410">
        <v>2023</v>
      </c>
      <c r="B410">
        <v>6</v>
      </c>
      <c r="C410" t="s">
        <v>40</v>
      </c>
      <c r="D410" t="s">
        <v>38</v>
      </c>
      <c r="E410" t="s">
        <v>46</v>
      </c>
      <c r="F410">
        <v>50592.15</v>
      </c>
    </row>
    <row r="411" spans="1:6" x14ac:dyDescent="0.3">
      <c r="A411">
        <v>2023</v>
      </c>
      <c r="B411">
        <v>6</v>
      </c>
      <c r="C411" t="s">
        <v>41</v>
      </c>
      <c r="D411" t="s">
        <v>38</v>
      </c>
      <c r="E411" t="s">
        <v>46</v>
      </c>
      <c r="F411">
        <v>59151</v>
      </c>
    </row>
    <row r="412" spans="1:6" x14ac:dyDescent="0.3">
      <c r="A412">
        <v>2023</v>
      </c>
      <c r="B412">
        <v>6</v>
      </c>
      <c r="C412" t="s">
        <v>42</v>
      </c>
      <c r="D412" t="s">
        <v>38</v>
      </c>
      <c r="E412" t="s">
        <v>46</v>
      </c>
      <c r="F412">
        <v>52711.41</v>
      </c>
    </row>
    <row r="413" spans="1:6" x14ac:dyDescent="0.3">
      <c r="A413">
        <v>2023</v>
      </c>
      <c r="B413">
        <v>6</v>
      </c>
      <c r="C413" t="s">
        <v>43</v>
      </c>
      <c r="D413" t="s">
        <v>38</v>
      </c>
      <c r="E413" t="s">
        <v>46</v>
      </c>
      <c r="F413">
        <v>96618.28</v>
      </c>
    </row>
    <row r="414" spans="1:6" x14ac:dyDescent="0.3">
      <c r="A414">
        <v>2023</v>
      </c>
      <c r="B414">
        <v>6</v>
      </c>
      <c r="C414" t="s">
        <v>44</v>
      </c>
      <c r="D414" t="s">
        <v>38</v>
      </c>
      <c r="E414" t="s">
        <v>46</v>
      </c>
      <c r="F414">
        <v>47290.47</v>
      </c>
    </row>
    <row r="415" spans="1:6" x14ac:dyDescent="0.3">
      <c r="A415">
        <v>2023</v>
      </c>
      <c r="B415">
        <v>6</v>
      </c>
      <c r="C415" t="s">
        <v>45</v>
      </c>
      <c r="D415" t="s">
        <v>38</v>
      </c>
      <c r="E415" t="s">
        <v>46</v>
      </c>
      <c r="F415">
        <v>82254.47</v>
      </c>
    </row>
    <row r="416" spans="1:6" x14ac:dyDescent="0.3">
      <c r="A416">
        <v>2023</v>
      </c>
      <c r="B416">
        <v>6</v>
      </c>
      <c r="C416" t="s">
        <v>37</v>
      </c>
      <c r="D416" t="s">
        <v>38</v>
      </c>
      <c r="E416" t="s">
        <v>47</v>
      </c>
      <c r="F416">
        <v>32221.56</v>
      </c>
    </row>
    <row r="417" spans="1:6" x14ac:dyDescent="0.3">
      <c r="A417">
        <v>2023</v>
      </c>
      <c r="B417">
        <v>6</v>
      </c>
      <c r="C417" t="s">
        <v>40</v>
      </c>
      <c r="D417" t="s">
        <v>38</v>
      </c>
      <c r="E417" t="s">
        <v>47</v>
      </c>
      <c r="F417">
        <v>26101.200000000001</v>
      </c>
    </row>
    <row r="418" spans="1:6" x14ac:dyDescent="0.3">
      <c r="A418">
        <v>2023</v>
      </c>
      <c r="B418">
        <v>6</v>
      </c>
      <c r="C418" t="s">
        <v>41</v>
      </c>
      <c r="D418" t="s">
        <v>38</v>
      </c>
      <c r="E418" t="s">
        <v>47</v>
      </c>
      <c r="F418">
        <v>55913.31</v>
      </c>
    </row>
    <row r="419" spans="1:6" x14ac:dyDescent="0.3">
      <c r="A419">
        <v>2023</v>
      </c>
      <c r="B419">
        <v>6</v>
      </c>
      <c r="C419" t="s">
        <v>42</v>
      </c>
      <c r="D419" t="s">
        <v>38</v>
      </c>
      <c r="E419" t="s">
        <v>47</v>
      </c>
      <c r="F419">
        <v>39255.57</v>
      </c>
    </row>
    <row r="420" spans="1:6" x14ac:dyDescent="0.3">
      <c r="A420">
        <v>2023</v>
      </c>
      <c r="B420">
        <v>6</v>
      </c>
      <c r="C420" t="s">
        <v>43</v>
      </c>
      <c r="D420" t="s">
        <v>38</v>
      </c>
      <c r="E420" t="s">
        <v>47</v>
      </c>
      <c r="F420">
        <v>106623.35</v>
      </c>
    </row>
    <row r="421" spans="1:6" x14ac:dyDescent="0.3">
      <c r="A421">
        <v>2023</v>
      </c>
      <c r="B421">
        <v>6</v>
      </c>
      <c r="C421" t="s">
        <v>44</v>
      </c>
      <c r="D421" t="s">
        <v>38</v>
      </c>
      <c r="E421" t="s">
        <v>47</v>
      </c>
      <c r="F421">
        <v>29336.49</v>
      </c>
    </row>
    <row r="422" spans="1:6" x14ac:dyDescent="0.3">
      <c r="A422">
        <v>2023</v>
      </c>
      <c r="B422">
        <v>6</v>
      </c>
      <c r="C422" t="s">
        <v>45</v>
      </c>
      <c r="D422" t="s">
        <v>38</v>
      </c>
      <c r="E422" t="s">
        <v>47</v>
      </c>
      <c r="F422">
        <v>19588.509999999998</v>
      </c>
    </row>
    <row r="423" spans="1:6" x14ac:dyDescent="0.3">
      <c r="A423">
        <v>2023</v>
      </c>
      <c r="B423">
        <v>6</v>
      </c>
      <c r="C423" t="s">
        <v>37</v>
      </c>
      <c r="D423" t="s">
        <v>48</v>
      </c>
      <c r="E423" t="s">
        <v>49</v>
      </c>
      <c r="F423">
        <v>57661.09</v>
      </c>
    </row>
    <row r="424" spans="1:6" x14ac:dyDescent="0.3">
      <c r="A424">
        <v>2023</v>
      </c>
      <c r="B424">
        <v>6</v>
      </c>
      <c r="C424" t="s">
        <v>40</v>
      </c>
      <c r="D424" t="s">
        <v>48</v>
      </c>
      <c r="E424" t="s">
        <v>49</v>
      </c>
      <c r="F424">
        <v>13020.36</v>
      </c>
    </row>
    <row r="425" spans="1:6" x14ac:dyDescent="0.3">
      <c r="A425">
        <v>2023</v>
      </c>
      <c r="B425">
        <v>6</v>
      </c>
      <c r="C425" t="s">
        <v>41</v>
      </c>
      <c r="D425" t="s">
        <v>48</v>
      </c>
      <c r="E425" t="s">
        <v>49</v>
      </c>
      <c r="F425">
        <v>103232.92</v>
      </c>
    </row>
    <row r="426" spans="1:6" x14ac:dyDescent="0.3">
      <c r="A426">
        <v>2023</v>
      </c>
      <c r="B426">
        <v>6</v>
      </c>
      <c r="C426" t="s">
        <v>42</v>
      </c>
      <c r="D426" t="s">
        <v>48</v>
      </c>
      <c r="E426" t="s">
        <v>49</v>
      </c>
      <c r="F426">
        <v>49231.06</v>
      </c>
    </row>
    <row r="427" spans="1:6" x14ac:dyDescent="0.3">
      <c r="A427">
        <v>2023</v>
      </c>
      <c r="B427">
        <v>6</v>
      </c>
      <c r="C427" t="s">
        <v>43</v>
      </c>
      <c r="D427" t="s">
        <v>48</v>
      </c>
      <c r="E427" t="s">
        <v>49</v>
      </c>
      <c r="F427">
        <v>46247.69</v>
      </c>
    </row>
    <row r="428" spans="1:6" x14ac:dyDescent="0.3">
      <c r="A428">
        <v>2023</v>
      </c>
      <c r="B428">
        <v>6</v>
      </c>
      <c r="C428" t="s">
        <v>44</v>
      </c>
      <c r="D428" t="s">
        <v>48</v>
      </c>
      <c r="E428" t="s">
        <v>49</v>
      </c>
      <c r="F428">
        <v>107176.86</v>
      </c>
    </row>
    <row r="429" spans="1:6" x14ac:dyDescent="0.3">
      <c r="A429">
        <v>2023</v>
      </c>
      <c r="B429">
        <v>6</v>
      </c>
      <c r="C429" t="s">
        <v>45</v>
      </c>
      <c r="D429" t="s">
        <v>48</v>
      </c>
      <c r="E429" t="s">
        <v>49</v>
      </c>
      <c r="F429">
        <v>15059.77</v>
      </c>
    </row>
    <row r="430" spans="1:6" x14ac:dyDescent="0.3">
      <c r="A430">
        <v>2023</v>
      </c>
      <c r="B430">
        <v>6</v>
      </c>
      <c r="C430" t="s">
        <v>37</v>
      </c>
      <c r="D430" t="s">
        <v>48</v>
      </c>
      <c r="E430" t="s">
        <v>50</v>
      </c>
      <c r="F430">
        <v>56174.18</v>
      </c>
    </row>
    <row r="431" spans="1:6" x14ac:dyDescent="0.3">
      <c r="A431">
        <v>2023</v>
      </c>
      <c r="B431">
        <v>6</v>
      </c>
      <c r="C431" t="s">
        <v>40</v>
      </c>
      <c r="D431" t="s">
        <v>48</v>
      </c>
      <c r="E431" t="s">
        <v>50</v>
      </c>
      <c r="F431">
        <v>56868.02</v>
      </c>
    </row>
    <row r="432" spans="1:6" x14ac:dyDescent="0.3">
      <c r="A432">
        <v>2023</v>
      </c>
      <c r="B432">
        <v>6</v>
      </c>
      <c r="C432" t="s">
        <v>41</v>
      </c>
      <c r="D432" t="s">
        <v>48</v>
      </c>
      <c r="E432" t="s">
        <v>50</v>
      </c>
      <c r="F432">
        <v>50769.53</v>
      </c>
    </row>
    <row r="433" spans="1:6" x14ac:dyDescent="0.3">
      <c r="A433">
        <v>2023</v>
      </c>
      <c r="B433">
        <v>6</v>
      </c>
      <c r="C433" t="s">
        <v>42</v>
      </c>
      <c r="D433" t="s">
        <v>48</v>
      </c>
      <c r="E433" t="s">
        <v>50</v>
      </c>
      <c r="F433">
        <v>138873.32999999999</v>
      </c>
    </row>
    <row r="434" spans="1:6" x14ac:dyDescent="0.3">
      <c r="A434">
        <v>2023</v>
      </c>
      <c r="B434">
        <v>6</v>
      </c>
      <c r="C434" t="s">
        <v>43</v>
      </c>
      <c r="D434" t="s">
        <v>48</v>
      </c>
      <c r="E434" t="s">
        <v>50</v>
      </c>
      <c r="F434">
        <v>20182.810000000001</v>
      </c>
    </row>
    <row r="435" spans="1:6" x14ac:dyDescent="0.3">
      <c r="A435">
        <v>2023</v>
      </c>
      <c r="B435">
        <v>6</v>
      </c>
      <c r="C435" t="s">
        <v>44</v>
      </c>
      <c r="D435" t="s">
        <v>48</v>
      </c>
      <c r="E435" t="s">
        <v>50</v>
      </c>
      <c r="F435">
        <v>12060.97</v>
      </c>
    </row>
    <row r="436" spans="1:6" x14ac:dyDescent="0.3">
      <c r="A436">
        <v>2023</v>
      </c>
      <c r="B436">
        <v>6</v>
      </c>
      <c r="C436" t="s">
        <v>45</v>
      </c>
      <c r="D436" t="s">
        <v>48</v>
      </c>
      <c r="E436" t="s">
        <v>50</v>
      </c>
      <c r="F436">
        <v>127352.81</v>
      </c>
    </row>
    <row r="437" spans="1:6" x14ac:dyDescent="0.3">
      <c r="A437">
        <v>2023</v>
      </c>
      <c r="B437">
        <v>6</v>
      </c>
      <c r="C437" t="s">
        <v>37</v>
      </c>
      <c r="D437" t="s">
        <v>48</v>
      </c>
      <c r="E437" t="s">
        <v>51</v>
      </c>
      <c r="F437">
        <v>25089.66</v>
      </c>
    </row>
    <row r="438" spans="1:6" x14ac:dyDescent="0.3">
      <c r="A438">
        <v>2023</v>
      </c>
      <c r="B438">
        <v>6</v>
      </c>
      <c r="C438" t="s">
        <v>40</v>
      </c>
      <c r="D438" t="s">
        <v>48</v>
      </c>
      <c r="E438" t="s">
        <v>51</v>
      </c>
      <c r="F438">
        <v>20834.16</v>
      </c>
    </row>
    <row r="439" spans="1:6" x14ac:dyDescent="0.3">
      <c r="A439">
        <v>2023</v>
      </c>
      <c r="B439">
        <v>6</v>
      </c>
      <c r="C439" t="s">
        <v>41</v>
      </c>
      <c r="D439" t="s">
        <v>48</v>
      </c>
      <c r="E439" t="s">
        <v>51</v>
      </c>
      <c r="F439">
        <v>72973.47</v>
      </c>
    </row>
    <row r="440" spans="1:6" x14ac:dyDescent="0.3">
      <c r="A440">
        <v>2023</v>
      </c>
      <c r="B440">
        <v>6</v>
      </c>
      <c r="C440" t="s">
        <v>42</v>
      </c>
      <c r="D440" t="s">
        <v>48</v>
      </c>
      <c r="E440" t="s">
        <v>51</v>
      </c>
      <c r="F440">
        <v>16151.99</v>
      </c>
    </row>
    <row r="441" spans="1:6" x14ac:dyDescent="0.3">
      <c r="A441">
        <v>2023</v>
      </c>
      <c r="B441">
        <v>6</v>
      </c>
      <c r="C441" t="s">
        <v>43</v>
      </c>
      <c r="D441" t="s">
        <v>48</v>
      </c>
      <c r="E441" t="s">
        <v>51</v>
      </c>
      <c r="F441">
        <v>44700.78</v>
      </c>
    </row>
    <row r="442" spans="1:6" x14ac:dyDescent="0.3">
      <c r="A442">
        <v>2023</v>
      </c>
      <c r="B442">
        <v>6</v>
      </c>
      <c r="C442" t="s">
        <v>44</v>
      </c>
      <c r="D442" t="s">
        <v>48</v>
      </c>
      <c r="E442" t="s">
        <v>51</v>
      </c>
      <c r="F442">
        <v>87099.06</v>
      </c>
    </row>
    <row r="443" spans="1:6" x14ac:dyDescent="0.3">
      <c r="A443">
        <v>2023</v>
      </c>
      <c r="B443">
        <v>6</v>
      </c>
      <c r="C443" t="s">
        <v>45</v>
      </c>
      <c r="D443" t="s">
        <v>48</v>
      </c>
      <c r="E443" t="s">
        <v>51</v>
      </c>
      <c r="F443">
        <v>61905.97</v>
      </c>
    </row>
    <row r="444" spans="1:6" x14ac:dyDescent="0.3">
      <c r="A444">
        <v>2023</v>
      </c>
      <c r="B444">
        <v>6</v>
      </c>
      <c r="C444" t="s">
        <v>37</v>
      </c>
      <c r="D444" t="s">
        <v>48</v>
      </c>
      <c r="E444" t="s">
        <v>52</v>
      </c>
      <c r="F444">
        <v>47580.92</v>
      </c>
    </row>
    <row r="445" spans="1:6" x14ac:dyDescent="0.3">
      <c r="A445">
        <v>2023</v>
      </c>
      <c r="B445">
        <v>6</v>
      </c>
      <c r="C445" t="s">
        <v>40</v>
      </c>
      <c r="D445" t="s">
        <v>48</v>
      </c>
      <c r="E445" t="s">
        <v>52</v>
      </c>
      <c r="F445">
        <v>51233.74</v>
      </c>
    </row>
    <row r="446" spans="1:6" x14ac:dyDescent="0.3">
      <c r="A446">
        <v>2023</v>
      </c>
      <c r="B446">
        <v>6</v>
      </c>
      <c r="C446" t="s">
        <v>41</v>
      </c>
      <c r="D446" t="s">
        <v>48</v>
      </c>
      <c r="E446" t="s">
        <v>52</v>
      </c>
      <c r="F446">
        <v>88358.49</v>
      </c>
    </row>
    <row r="447" spans="1:6" x14ac:dyDescent="0.3">
      <c r="A447">
        <v>2023</v>
      </c>
      <c r="B447">
        <v>6</v>
      </c>
      <c r="C447" t="s">
        <v>42</v>
      </c>
      <c r="D447" t="s">
        <v>48</v>
      </c>
      <c r="E447" t="s">
        <v>52</v>
      </c>
      <c r="F447">
        <v>22733.98</v>
      </c>
    </row>
    <row r="448" spans="1:6" x14ac:dyDescent="0.3">
      <c r="A448">
        <v>2023</v>
      </c>
      <c r="B448">
        <v>6</v>
      </c>
      <c r="C448" t="s">
        <v>43</v>
      </c>
      <c r="D448" t="s">
        <v>48</v>
      </c>
      <c r="E448" t="s">
        <v>52</v>
      </c>
      <c r="F448">
        <v>67972.03</v>
      </c>
    </row>
    <row r="449" spans="1:6" x14ac:dyDescent="0.3">
      <c r="A449">
        <v>2023</v>
      </c>
      <c r="B449">
        <v>6</v>
      </c>
      <c r="C449" t="s">
        <v>44</v>
      </c>
      <c r="D449" t="s">
        <v>48</v>
      </c>
      <c r="E449" t="s">
        <v>52</v>
      </c>
      <c r="F449">
        <v>69608.179999999993</v>
      </c>
    </row>
    <row r="450" spans="1:6" x14ac:dyDescent="0.3">
      <c r="A450">
        <v>2023</v>
      </c>
      <c r="B450">
        <v>6</v>
      </c>
      <c r="C450" t="s">
        <v>45</v>
      </c>
      <c r="D450" t="s">
        <v>48</v>
      </c>
      <c r="E450" t="s">
        <v>52</v>
      </c>
      <c r="F450">
        <v>44031.46</v>
      </c>
    </row>
    <row r="451" spans="1:6" x14ac:dyDescent="0.3">
      <c r="A451">
        <v>2023</v>
      </c>
      <c r="B451">
        <v>6</v>
      </c>
      <c r="C451" t="s">
        <v>37</v>
      </c>
      <c r="D451" t="s">
        <v>48</v>
      </c>
      <c r="E451" t="s">
        <v>53</v>
      </c>
      <c r="F451">
        <v>87621.759999999995</v>
      </c>
    </row>
    <row r="452" spans="1:6" x14ac:dyDescent="0.3">
      <c r="A452">
        <v>2023</v>
      </c>
      <c r="B452">
        <v>6</v>
      </c>
      <c r="C452" t="s">
        <v>40</v>
      </c>
      <c r="D452" t="s">
        <v>48</v>
      </c>
      <c r="E452" t="s">
        <v>53</v>
      </c>
      <c r="F452">
        <v>48499.94</v>
      </c>
    </row>
    <row r="453" spans="1:6" x14ac:dyDescent="0.3">
      <c r="A453">
        <v>2023</v>
      </c>
      <c r="B453">
        <v>6</v>
      </c>
      <c r="C453" t="s">
        <v>41</v>
      </c>
      <c r="D453" t="s">
        <v>48</v>
      </c>
      <c r="E453" t="s">
        <v>53</v>
      </c>
      <c r="F453">
        <v>45581.55</v>
      </c>
    </row>
    <row r="454" spans="1:6" x14ac:dyDescent="0.3">
      <c r="A454">
        <v>2023</v>
      </c>
      <c r="B454">
        <v>6</v>
      </c>
      <c r="C454" t="s">
        <v>42</v>
      </c>
      <c r="D454" t="s">
        <v>48</v>
      </c>
      <c r="E454" t="s">
        <v>53</v>
      </c>
      <c r="F454">
        <v>101219.66</v>
      </c>
    </row>
    <row r="455" spans="1:6" x14ac:dyDescent="0.3">
      <c r="A455">
        <v>2023</v>
      </c>
      <c r="B455">
        <v>6</v>
      </c>
      <c r="C455" t="s">
        <v>43</v>
      </c>
      <c r="D455" t="s">
        <v>48</v>
      </c>
      <c r="E455" t="s">
        <v>53</v>
      </c>
      <c r="F455">
        <v>20955.400000000001</v>
      </c>
    </row>
    <row r="456" spans="1:6" x14ac:dyDescent="0.3">
      <c r="A456">
        <v>2023</v>
      </c>
      <c r="B456">
        <v>6</v>
      </c>
      <c r="C456" t="s">
        <v>44</v>
      </c>
      <c r="D456" t="s">
        <v>48</v>
      </c>
      <c r="E456" t="s">
        <v>53</v>
      </c>
      <c r="F456">
        <v>72934.87</v>
      </c>
    </row>
    <row r="457" spans="1:6" x14ac:dyDescent="0.3">
      <c r="A457">
        <v>2023</v>
      </c>
      <c r="B457">
        <v>6</v>
      </c>
      <c r="C457" t="s">
        <v>45</v>
      </c>
      <c r="D457" t="s">
        <v>48</v>
      </c>
      <c r="E457" t="s">
        <v>53</v>
      </c>
      <c r="F457">
        <v>98553.62</v>
      </c>
    </row>
    <row r="458" spans="1:6" x14ac:dyDescent="0.3">
      <c r="A458">
        <v>2023</v>
      </c>
      <c r="B458">
        <v>6</v>
      </c>
      <c r="C458" t="s">
        <v>37</v>
      </c>
      <c r="D458" t="s">
        <v>48</v>
      </c>
      <c r="E458" t="s">
        <v>54</v>
      </c>
      <c r="F458">
        <v>73070.100000000006</v>
      </c>
    </row>
    <row r="459" spans="1:6" x14ac:dyDescent="0.3">
      <c r="A459">
        <v>2023</v>
      </c>
      <c r="B459">
        <v>6</v>
      </c>
      <c r="C459" t="s">
        <v>40</v>
      </c>
      <c r="D459" t="s">
        <v>48</v>
      </c>
      <c r="E459" t="s">
        <v>54</v>
      </c>
      <c r="F459">
        <v>26625.47</v>
      </c>
    </row>
    <row r="460" spans="1:6" x14ac:dyDescent="0.3">
      <c r="A460">
        <v>2023</v>
      </c>
      <c r="B460">
        <v>6</v>
      </c>
      <c r="C460" t="s">
        <v>41</v>
      </c>
      <c r="D460" t="s">
        <v>48</v>
      </c>
      <c r="E460" t="s">
        <v>54</v>
      </c>
      <c r="F460">
        <v>15673.03</v>
      </c>
    </row>
    <row r="461" spans="1:6" x14ac:dyDescent="0.3">
      <c r="A461">
        <v>2023</v>
      </c>
      <c r="B461">
        <v>6</v>
      </c>
      <c r="C461" t="s">
        <v>42</v>
      </c>
      <c r="D461" t="s">
        <v>48</v>
      </c>
      <c r="E461" t="s">
        <v>54</v>
      </c>
      <c r="F461">
        <v>56768.6</v>
      </c>
    </row>
    <row r="462" spans="1:6" x14ac:dyDescent="0.3">
      <c r="A462">
        <v>2023</v>
      </c>
      <c r="B462">
        <v>6</v>
      </c>
      <c r="C462" t="s">
        <v>43</v>
      </c>
      <c r="D462" t="s">
        <v>48</v>
      </c>
      <c r="E462" t="s">
        <v>54</v>
      </c>
      <c r="F462">
        <v>103658.32</v>
      </c>
    </row>
    <row r="463" spans="1:6" x14ac:dyDescent="0.3">
      <c r="A463">
        <v>2023</v>
      </c>
      <c r="B463">
        <v>6</v>
      </c>
      <c r="C463" t="s">
        <v>44</v>
      </c>
      <c r="D463" t="s">
        <v>48</v>
      </c>
      <c r="E463" t="s">
        <v>54</v>
      </c>
      <c r="F463">
        <v>93034.96</v>
      </c>
    </row>
    <row r="464" spans="1:6" x14ac:dyDescent="0.3">
      <c r="A464">
        <v>2023</v>
      </c>
      <c r="B464">
        <v>6</v>
      </c>
      <c r="C464" t="s">
        <v>45</v>
      </c>
      <c r="D464" t="s">
        <v>48</v>
      </c>
      <c r="E464" t="s">
        <v>54</v>
      </c>
      <c r="F464">
        <v>83336.240000000005</v>
      </c>
    </row>
    <row r="465" spans="1:6" x14ac:dyDescent="0.3">
      <c r="A465">
        <v>2023</v>
      </c>
      <c r="B465">
        <v>6</v>
      </c>
      <c r="C465" t="s">
        <v>37</v>
      </c>
      <c r="D465" t="s">
        <v>48</v>
      </c>
      <c r="E465" t="s">
        <v>55</v>
      </c>
      <c r="F465">
        <v>16361.18</v>
      </c>
    </row>
    <row r="466" spans="1:6" x14ac:dyDescent="0.3">
      <c r="A466">
        <v>2023</v>
      </c>
      <c r="B466">
        <v>6</v>
      </c>
      <c r="C466" t="s">
        <v>40</v>
      </c>
      <c r="D466" t="s">
        <v>48</v>
      </c>
      <c r="E466" t="s">
        <v>55</v>
      </c>
      <c r="F466">
        <v>39656.78</v>
      </c>
    </row>
    <row r="467" spans="1:6" x14ac:dyDescent="0.3">
      <c r="A467">
        <v>2023</v>
      </c>
      <c r="B467">
        <v>6</v>
      </c>
      <c r="C467" t="s">
        <v>41</v>
      </c>
      <c r="D467" t="s">
        <v>48</v>
      </c>
      <c r="E467" t="s">
        <v>55</v>
      </c>
      <c r="F467">
        <v>62110.55</v>
      </c>
    </row>
    <row r="468" spans="1:6" x14ac:dyDescent="0.3">
      <c r="A468">
        <v>2023</v>
      </c>
      <c r="B468">
        <v>6</v>
      </c>
      <c r="C468" t="s">
        <v>42</v>
      </c>
      <c r="D468" t="s">
        <v>48</v>
      </c>
      <c r="E468" t="s">
        <v>55</v>
      </c>
      <c r="F468">
        <v>36906.559999999998</v>
      </c>
    </row>
    <row r="469" spans="1:6" x14ac:dyDescent="0.3">
      <c r="A469">
        <v>2023</v>
      </c>
      <c r="B469">
        <v>6</v>
      </c>
      <c r="C469" t="s">
        <v>43</v>
      </c>
      <c r="D469" t="s">
        <v>48</v>
      </c>
      <c r="E469" t="s">
        <v>55</v>
      </c>
      <c r="F469">
        <v>80799.97</v>
      </c>
    </row>
    <row r="470" spans="1:6" x14ac:dyDescent="0.3">
      <c r="A470">
        <v>2023</v>
      </c>
      <c r="B470">
        <v>6</v>
      </c>
      <c r="C470" t="s">
        <v>44</v>
      </c>
      <c r="D470" t="s">
        <v>48</v>
      </c>
      <c r="E470" t="s">
        <v>55</v>
      </c>
      <c r="F470">
        <v>59713.54</v>
      </c>
    </row>
    <row r="471" spans="1:6" x14ac:dyDescent="0.3">
      <c r="A471">
        <v>2023</v>
      </c>
      <c r="B471">
        <v>6</v>
      </c>
      <c r="C471" t="s">
        <v>45</v>
      </c>
      <c r="D471" t="s">
        <v>48</v>
      </c>
      <c r="E471" t="s">
        <v>55</v>
      </c>
      <c r="F471">
        <v>106825.76</v>
      </c>
    </row>
    <row r="472" spans="1:6" x14ac:dyDescent="0.3">
      <c r="A472">
        <v>2023</v>
      </c>
      <c r="B472">
        <v>6</v>
      </c>
      <c r="C472" t="s">
        <v>37</v>
      </c>
      <c r="D472" t="s">
        <v>48</v>
      </c>
      <c r="E472" t="s">
        <v>56</v>
      </c>
      <c r="F472">
        <v>29497.1</v>
      </c>
    </row>
    <row r="473" spans="1:6" x14ac:dyDescent="0.3">
      <c r="A473">
        <v>2023</v>
      </c>
      <c r="B473">
        <v>6</v>
      </c>
      <c r="C473" t="s">
        <v>40</v>
      </c>
      <c r="D473" t="s">
        <v>48</v>
      </c>
      <c r="E473" t="s">
        <v>56</v>
      </c>
      <c r="F473">
        <v>56495.75</v>
      </c>
    </row>
    <row r="474" spans="1:6" x14ac:dyDescent="0.3">
      <c r="A474">
        <v>2023</v>
      </c>
      <c r="B474">
        <v>6</v>
      </c>
      <c r="C474" t="s">
        <v>41</v>
      </c>
      <c r="D474" t="s">
        <v>48</v>
      </c>
      <c r="E474" t="s">
        <v>56</v>
      </c>
      <c r="F474">
        <v>112721.71</v>
      </c>
    </row>
    <row r="475" spans="1:6" x14ac:dyDescent="0.3">
      <c r="A475">
        <v>2023</v>
      </c>
      <c r="B475">
        <v>6</v>
      </c>
      <c r="C475" t="s">
        <v>42</v>
      </c>
      <c r="D475" t="s">
        <v>48</v>
      </c>
      <c r="E475" t="s">
        <v>56</v>
      </c>
      <c r="F475">
        <v>12474.07</v>
      </c>
    </row>
    <row r="476" spans="1:6" x14ac:dyDescent="0.3">
      <c r="A476">
        <v>2023</v>
      </c>
      <c r="B476">
        <v>6</v>
      </c>
      <c r="C476" t="s">
        <v>43</v>
      </c>
      <c r="D476" t="s">
        <v>48</v>
      </c>
      <c r="E476" t="s">
        <v>56</v>
      </c>
      <c r="F476">
        <v>51152.68</v>
      </c>
    </row>
    <row r="477" spans="1:6" x14ac:dyDescent="0.3">
      <c r="A477">
        <v>2023</v>
      </c>
      <c r="B477">
        <v>6</v>
      </c>
      <c r="C477" t="s">
        <v>44</v>
      </c>
      <c r="D477" t="s">
        <v>48</v>
      </c>
      <c r="E477" t="s">
        <v>56</v>
      </c>
      <c r="F477">
        <v>77659.149999999994</v>
      </c>
    </row>
    <row r="478" spans="1:6" x14ac:dyDescent="0.3">
      <c r="A478">
        <v>2023</v>
      </c>
      <c r="B478">
        <v>6</v>
      </c>
      <c r="C478" t="s">
        <v>45</v>
      </c>
      <c r="D478" t="s">
        <v>48</v>
      </c>
      <c r="E478" t="s">
        <v>56</v>
      </c>
      <c r="F478">
        <v>51645.16</v>
      </c>
    </row>
    <row r="479" spans="1:6" x14ac:dyDescent="0.3">
      <c r="A479">
        <v>2023</v>
      </c>
      <c r="B479">
        <v>6</v>
      </c>
      <c r="C479" t="s">
        <v>37</v>
      </c>
      <c r="D479" t="s">
        <v>57</v>
      </c>
      <c r="E479" t="s">
        <v>58</v>
      </c>
      <c r="F479">
        <v>125861.3</v>
      </c>
    </row>
    <row r="480" spans="1:6" x14ac:dyDescent="0.3">
      <c r="A480">
        <v>2023</v>
      </c>
      <c r="B480">
        <v>6</v>
      </c>
      <c r="C480" t="s">
        <v>37</v>
      </c>
      <c r="D480" t="s">
        <v>57</v>
      </c>
      <c r="E480" t="s">
        <v>59</v>
      </c>
      <c r="F480">
        <v>19888.02</v>
      </c>
    </row>
    <row r="481" spans="1:6" x14ac:dyDescent="0.3">
      <c r="A481">
        <v>2023</v>
      </c>
      <c r="B481">
        <v>6</v>
      </c>
      <c r="C481" t="s">
        <v>37</v>
      </c>
      <c r="D481" t="s">
        <v>57</v>
      </c>
      <c r="E481" t="s">
        <v>60</v>
      </c>
      <c r="F481">
        <v>20308.14</v>
      </c>
    </row>
    <row r="482" spans="1:6" x14ac:dyDescent="0.3">
      <c r="A482">
        <v>2023</v>
      </c>
      <c r="B482">
        <v>7</v>
      </c>
      <c r="C482" t="s">
        <v>37</v>
      </c>
      <c r="D482" t="s">
        <v>38</v>
      </c>
      <c r="E482" t="s">
        <v>39</v>
      </c>
      <c r="F482">
        <v>46423.47</v>
      </c>
    </row>
    <row r="483" spans="1:6" x14ac:dyDescent="0.3">
      <c r="A483">
        <v>2023</v>
      </c>
      <c r="B483">
        <v>7</v>
      </c>
      <c r="C483" t="s">
        <v>40</v>
      </c>
      <c r="D483" t="s">
        <v>38</v>
      </c>
      <c r="E483" t="s">
        <v>39</v>
      </c>
      <c r="F483">
        <v>123960.09</v>
      </c>
    </row>
    <row r="484" spans="1:6" x14ac:dyDescent="0.3">
      <c r="A484">
        <v>2023</v>
      </c>
      <c r="B484">
        <v>7</v>
      </c>
      <c r="C484" t="s">
        <v>41</v>
      </c>
      <c r="D484" t="s">
        <v>38</v>
      </c>
      <c r="E484" t="s">
        <v>39</v>
      </c>
      <c r="F484">
        <v>98544.48</v>
      </c>
    </row>
    <row r="485" spans="1:6" x14ac:dyDescent="0.3">
      <c r="A485">
        <v>2023</v>
      </c>
      <c r="B485">
        <v>7</v>
      </c>
      <c r="C485" t="s">
        <v>42</v>
      </c>
      <c r="D485" t="s">
        <v>38</v>
      </c>
      <c r="E485" t="s">
        <v>39</v>
      </c>
      <c r="F485">
        <v>82697.149999999994</v>
      </c>
    </row>
    <row r="486" spans="1:6" x14ac:dyDescent="0.3">
      <c r="A486">
        <v>2023</v>
      </c>
      <c r="B486">
        <v>7</v>
      </c>
      <c r="C486" t="s">
        <v>43</v>
      </c>
      <c r="D486" t="s">
        <v>38</v>
      </c>
      <c r="E486" t="s">
        <v>39</v>
      </c>
      <c r="F486">
        <v>90360.27</v>
      </c>
    </row>
    <row r="487" spans="1:6" x14ac:dyDescent="0.3">
      <c r="A487">
        <v>2023</v>
      </c>
      <c r="B487">
        <v>7</v>
      </c>
      <c r="C487" t="s">
        <v>44</v>
      </c>
      <c r="D487" t="s">
        <v>38</v>
      </c>
      <c r="E487" t="s">
        <v>39</v>
      </c>
      <c r="F487">
        <v>112805.52</v>
      </c>
    </row>
    <row r="488" spans="1:6" x14ac:dyDescent="0.3">
      <c r="A488">
        <v>2023</v>
      </c>
      <c r="B488">
        <v>7</v>
      </c>
      <c r="C488" t="s">
        <v>45</v>
      </c>
      <c r="D488" t="s">
        <v>38</v>
      </c>
      <c r="E488" t="s">
        <v>39</v>
      </c>
      <c r="F488">
        <v>20742.89</v>
      </c>
    </row>
    <row r="489" spans="1:6" x14ac:dyDescent="0.3">
      <c r="A489">
        <v>2023</v>
      </c>
      <c r="B489">
        <v>7</v>
      </c>
      <c r="C489" t="s">
        <v>37</v>
      </c>
      <c r="D489" t="s">
        <v>38</v>
      </c>
      <c r="E489" t="s">
        <v>46</v>
      </c>
      <c r="F489">
        <v>84434.95</v>
      </c>
    </row>
    <row r="490" spans="1:6" x14ac:dyDescent="0.3">
      <c r="A490">
        <v>2023</v>
      </c>
      <c r="B490">
        <v>7</v>
      </c>
      <c r="C490" t="s">
        <v>40</v>
      </c>
      <c r="D490" t="s">
        <v>38</v>
      </c>
      <c r="E490" t="s">
        <v>46</v>
      </c>
      <c r="F490">
        <v>111855.62</v>
      </c>
    </row>
    <row r="491" spans="1:6" x14ac:dyDescent="0.3">
      <c r="A491">
        <v>2023</v>
      </c>
      <c r="B491">
        <v>7</v>
      </c>
      <c r="C491" t="s">
        <v>41</v>
      </c>
      <c r="D491" t="s">
        <v>38</v>
      </c>
      <c r="E491" t="s">
        <v>46</v>
      </c>
      <c r="F491">
        <v>116093.35</v>
      </c>
    </row>
    <row r="492" spans="1:6" x14ac:dyDescent="0.3">
      <c r="A492">
        <v>2023</v>
      </c>
      <c r="B492">
        <v>7</v>
      </c>
      <c r="C492" t="s">
        <v>42</v>
      </c>
      <c r="D492" t="s">
        <v>38</v>
      </c>
      <c r="E492" t="s">
        <v>46</v>
      </c>
      <c r="F492">
        <v>50480.86</v>
      </c>
    </row>
    <row r="493" spans="1:6" x14ac:dyDescent="0.3">
      <c r="A493">
        <v>2023</v>
      </c>
      <c r="B493">
        <v>7</v>
      </c>
      <c r="C493" t="s">
        <v>43</v>
      </c>
      <c r="D493" t="s">
        <v>38</v>
      </c>
      <c r="E493" t="s">
        <v>46</v>
      </c>
      <c r="F493">
        <v>71377.31</v>
      </c>
    </row>
    <row r="494" spans="1:6" x14ac:dyDescent="0.3">
      <c r="A494">
        <v>2023</v>
      </c>
      <c r="B494">
        <v>7</v>
      </c>
      <c r="C494" t="s">
        <v>44</v>
      </c>
      <c r="D494" t="s">
        <v>38</v>
      </c>
      <c r="E494" t="s">
        <v>46</v>
      </c>
      <c r="F494">
        <v>44332.9</v>
      </c>
    </row>
    <row r="495" spans="1:6" x14ac:dyDescent="0.3">
      <c r="A495">
        <v>2023</v>
      </c>
      <c r="B495">
        <v>7</v>
      </c>
      <c r="C495" t="s">
        <v>45</v>
      </c>
      <c r="D495" t="s">
        <v>38</v>
      </c>
      <c r="E495" t="s">
        <v>46</v>
      </c>
      <c r="F495">
        <v>82582.92</v>
      </c>
    </row>
    <row r="496" spans="1:6" x14ac:dyDescent="0.3">
      <c r="A496">
        <v>2023</v>
      </c>
      <c r="B496">
        <v>7</v>
      </c>
      <c r="C496" t="s">
        <v>37</v>
      </c>
      <c r="D496" t="s">
        <v>38</v>
      </c>
      <c r="E496" t="s">
        <v>47</v>
      </c>
      <c r="F496">
        <v>14542.01</v>
      </c>
    </row>
    <row r="497" spans="1:6" x14ac:dyDescent="0.3">
      <c r="A497">
        <v>2023</v>
      </c>
      <c r="B497">
        <v>7</v>
      </c>
      <c r="C497" t="s">
        <v>40</v>
      </c>
      <c r="D497" t="s">
        <v>38</v>
      </c>
      <c r="E497" t="s">
        <v>47</v>
      </c>
      <c r="F497">
        <v>96488.82</v>
      </c>
    </row>
    <row r="498" spans="1:6" x14ac:dyDescent="0.3">
      <c r="A498">
        <v>2023</v>
      </c>
      <c r="B498">
        <v>7</v>
      </c>
      <c r="C498" t="s">
        <v>41</v>
      </c>
      <c r="D498" t="s">
        <v>38</v>
      </c>
      <c r="E498" t="s">
        <v>47</v>
      </c>
      <c r="F498">
        <v>63174.85</v>
      </c>
    </row>
    <row r="499" spans="1:6" x14ac:dyDescent="0.3">
      <c r="A499">
        <v>2023</v>
      </c>
      <c r="B499">
        <v>7</v>
      </c>
      <c r="C499" t="s">
        <v>42</v>
      </c>
      <c r="D499" t="s">
        <v>38</v>
      </c>
      <c r="E499" t="s">
        <v>47</v>
      </c>
      <c r="F499">
        <v>42944.45</v>
      </c>
    </row>
    <row r="500" spans="1:6" x14ac:dyDescent="0.3">
      <c r="A500">
        <v>2023</v>
      </c>
      <c r="B500">
        <v>7</v>
      </c>
      <c r="C500" t="s">
        <v>43</v>
      </c>
      <c r="D500" t="s">
        <v>38</v>
      </c>
      <c r="E500" t="s">
        <v>47</v>
      </c>
      <c r="F500">
        <v>89165.759999999995</v>
      </c>
    </row>
    <row r="501" spans="1:6" x14ac:dyDescent="0.3">
      <c r="A501">
        <v>2023</v>
      </c>
      <c r="B501">
        <v>7</v>
      </c>
      <c r="C501" t="s">
        <v>44</v>
      </c>
      <c r="D501" t="s">
        <v>38</v>
      </c>
      <c r="E501" t="s">
        <v>47</v>
      </c>
      <c r="F501">
        <v>117704.47</v>
      </c>
    </row>
    <row r="502" spans="1:6" x14ac:dyDescent="0.3">
      <c r="A502">
        <v>2023</v>
      </c>
      <c r="B502">
        <v>7</v>
      </c>
      <c r="C502" t="s">
        <v>45</v>
      </c>
      <c r="D502" t="s">
        <v>38</v>
      </c>
      <c r="E502" t="s">
        <v>47</v>
      </c>
      <c r="F502">
        <v>42664.74</v>
      </c>
    </row>
    <row r="503" spans="1:6" x14ac:dyDescent="0.3">
      <c r="A503">
        <v>2023</v>
      </c>
      <c r="B503">
        <v>7</v>
      </c>
      <c r="C503" t="s">
        <v>37</v>
      </c>
      <c r="D503" t="s">
        <v>48</v>
      </c>
      <c r="E503" t="s">
        <v>49</v>
      </c>
      <c r="F503">
        <v>54504.34</v>
      </c>
    </row>
    <row r="504" spans="1:6" x14ac:dyDescent="0.3">
      <c r="A504">
        <v>2023</v>
      </c>
      <c r="B504">
        <v>7</v>
      </c>
      <c r="C504" t="s">
        <v>40</v>
      </c>
      <c r="D504" t="s">
        <v>48</v>
      </c>
      <c r="E504" t="s">
        <v>49</v>
      </c>
      <c r="F504">
        <v>91967.22</v>
      </c>
    </row>
    <row r="505" spans="1:6" x14ac:dyDescent="0.3">
      <c r="A505">
        <v>2023</v>
      </c>
      <c r="B505">
        <v>7</v>
      </c>
      <c r="C505" t="s">
        <v>41</v>
      </c>
      <c r="D505" t="s">
        <v>48</v>
      </c>
      <c r="E505" t="s">
        <v>49</v>
      </c>
      <c r="F505">
        <v>61995.97</v>
      </c>
    </row>
    <row r="506" spans="1:6" x14ac:dyDescent="0.3">
      <c r="A506">
        <v>2023</v>
      </c>
      <c r="B506">
        <v>7</v>
      </c>
      <c r="C506" t="s">
        <v>42</v>
      </c>
      <c r="D506" t="s">
        <v>48</v>
      </c>
      <c r="E506" t="s">
        <v>49</v>
      </c>
      <c r="F506">
        <v>84555.75</v>
      </c>
    </row>
    <row r="507" spans="1:6" x14ac:dyDescent="0.3">
      <c r="A507">
        <v>2023</v>
      </c>
      <c r="B507">
        <v>7</v>
      </c>
      <c r="C507" t="s">
        <v>43</v>
      </c>
      <c r="D507" t="s">
        <v>48</v>
      </c>
      <c r="E507" t="s">
        <v>49</v>
      </c>
      <c r="F507">
        <v>25348.400000000001</v>
      </c>
    </row>
    <row r="508" spans="1:6" x14ac:dyDescent="0.3">
      <c r="A508">
        <v>2023</v>
      </c>
      <c r="B508">
        <v>7</v>
      </c>
      <c r="C508" t="s">
        <v>44</v>
      </c>
      <c r="D508" t="s">
        <v>48</v>
      </c>
      <c r="E508" t="s">
        <v>49</v>
      </c>
      <c r="F508">
        <v>56480.88</v>
      </c>
    </row>
    <row r="509" spans="1:6" x14ac:dyDescent="0.3">
      <c r="A509">
        <v>2023</v>
      </c>
      <c r="B509">
        <v>7</v>
      </c>
      <c r="C509" t="s">
        <v>45</v>
      </c>
      <c r="D509" t="s">
        <v>48</v>
      </c>
      <c r="E509" t="s">
        <v>49</v>
      </c>
      <c r="F509">
        <v>85288.8</v>
      </c>
    </row>
    <row r="510" spans="1:6" x14ac:dyDescent="0.3">
      <c r="A510">
        <v>2023</v>
      </c>
      <c r="B510">
        <v>7</v>
      </c>
      <c r="C510" t="s">
        <v>37</v>
      </c>
      <c r="D510" t="s">
        <v>48</v>
      </c>
      <c r="E510" t="s">
        <v>50</v>
      </c>
      <c r="F510">
        <v>34598.22</v>
      </c>
    </row>
    <row r="511" spans="1:6" x14ac:dyDescent="0.3">
      <c r="A511">
        <v>2023</v>
      </c>
      <c r="B511">
        <v>7</v>
      </c>
      <c r="C511" t="s">
        <v>40</v>
      </c>
      <c r="D511" t="s">
        <v>48</v>
      </c>
      <c r="E511" t="s">
        <v>50</v>
      </c>
      <c r="F511">
        <v>67442.11</v>
      </c>
    </row>
    <row r="512" spans="1:6" x14ac:dyDescent="0.3">
      <c r="A512">
        <v>2023</v>
      </c>
      <c r="B512">
        <v>7</v>
      </c>
      <c r="C512" t="s">
        <v>41</v>
      </c>
      <c r="D512" t="s">
        <v>48</v>
      </c>
      <c r="E512" t="s">
        <v>50</v>
      </c>
      <c r="F512">
        <v>112932.2</v>
      </c>
    </row>
    <row r="513" spans="1:6" x14ac:dyDescent="0.3">
      <c r="A513">
        <v>2023</v>
      </c>
      <c r="B513">
        <v>7</v>
      </c>
      <c r="C513" t="s">
        <v>42</v>
      </c>
      <c r="D513" t="s">
        <v>48</v>
      </c>
      <c r="E513" t="s">
        <v>50</v>
      </c>
      <c r="F513">
        <v>94529.73</v>
      </c>
    </row>
    <row r="514" spans="1:6" x14ac:dyDescent="0.3">
      <c r="A514">
        <v>2023</v>
      </c>
      <c r="B514">
        <v>7</v>
      </c>
      <c r="C514" t="s">
        <v>43</v>
      </c>
      <c r="D514" t="s">
        <v>48</v>
      </c>
      <c r="E514" t="s">
        <v>50</v>
      </c>
      <c r="F514">
        <v>103108.4</v>
      </c>
    </row>
    <row r="515" spans="1:6" x14ac:dyDescent="0.3">
      <c r="A515">
        <v>2023</v>
      </c>
      <c r="B515">
        <v>7</v>
      </c>
      <c r="C515" t="s">
        <v>44</v>
      </c>
      <c r="D515" t="s">
        <v>48</v>
      </c>
      <c r="E515" t="s">
        <v>50</v>
      </c>
      <c r="F515">
        <v>96076.55</v>
      </c>
    </row>
    <row r="516" spans="1:6" x14ac:dyDescent="0.3">
      <c r="A516">
        <v>2023</v>
      </c>
      <c r="B516">
        <v>7</v>
      </c>
      <c r="C516" t="s">
        <v>45</v>
      </c>
      <c r="D516" t="s">
        <v>48</v>
      </c>
      <c r="E516" t="s">
        <v>50</v>
      </c>
      <c r="F516">
        <v>69657.8</v>
      </c>
    </row>
    <row r="517" spans="1:6" x14ac:dyDescent="0.3">
      <c r="A517">
        <v>2023</v>
      </c>
      <c r="B517">
        <v>7</v>
      </c>
      <c r="C517" t="s">
        <v>37</v>
      </c>
      <c r="D517" t="s">
        <v>48</v>
      </c>
      <c r="E517" t="s">
        <v>51</v>
      </c>
      <c r="F517">
        <v>115762.53</v>
      </c>
    </row>
    <row r="518" spans="1:6" x14ac:dyDescent="0.3">
      <c r="A518">
        <v>2023</v>
      </c>
      <c r="B518">
        <v>7</v>
      </c>
      <c r="C518" t="s">
        <v>40</v>
      </c>
      <c r="D518" t="s">
        <v>48</v>
      </c>
      <c r="E518" t="s">
        <v>51</v>
      </c>
      <c r="F518">
        <v>84437.72</v>
      </c>
    </row>
    <row r="519" spans="1:6" x14ac:dyDescent="0.3">
      <c r="A519">
        <v>2023</v>
      </c>
      <c r="B519">
        <v>7</v>
      </c>
      <c r="C519" t="s">
        <v>41</v>
      </c>
      <c r="D519" t="s">
        <v>48</v>
      </c>
      <c r="E519" t="s">
        <v>51</v>
      </c>
      <c r="F519">
        <v>78944.11</v>
      </c>
    </row>
    <row r="520" spans="1:6" x14ac:dyDescent="0.3">
      <c r="A520">
        <v>2023</v>
      </c>
      <c r="B520">
        <v>7</v>
      </c>
      <c r="C520" t="s">
        <v>42</v>
      </c>
      <c r="D520" t="s">
        <v>48</v>
      </c>
      <c r="E520" t="s">
        <v>51</v>
      </c>
      <c r="F520">
        <v>113201.91</v>
      </c>
    </row>
    <row r="521" spans="1:6" x14ac:dyDescent="0.3">
      <c r="A521">
        <v>2023</v>
      </c>
      <c r="B521">
        <v>7</v>
      </c>
      <c r="C521" t="s">
        <v>43</v>
      </c>
      <c r="D521" t="s">
        <v>48</v>
      </c>
      <c r="E521" t="s">
        <v>51</v>
      </c>
      <c r="F521">
        <v>30414.82</v>
      </c>
    </row>
    <row r="522" spans="1:6" x14ac:dyDescent="0.3">
      <c r="A522">
        <v>2023</v>
      </c>
      <c r="B522">
        <v>7</v>
      </c>
      <c r="C522" t="s">
        <v>44</v>
      </c>
      <c r="D522" t="s">
        <v>48</v>
      </c>
      <c r="E522" t="s">
        <v>51</v>
      </c>
      <c r="F522">
        <v>73862.559999999998</v>
      </c>
    </row>
    <row r="523" spans="1:6" x14ac:dyDescent="0.3">
      <c r="A523">
        <v>2023</v>
      </c>
      <c r="B523">
        <v>7</v>
      </c>
      <c r="C523" t="s">
        <v>45</v>
      </c>
      <c r="D523" t="s">
        <v>48</v>
      </c>
      <c r="E523" t="s">
        <v>51</v>
      </c>
      <c r="F523">
        <v>123349.5</v>
      </c>
    </row>
    <row r="524" spans="1:6" x14ac:dyDescent="0.3">
      <c r="A524">
        <v>2023</v>
      </c>
      <c r="B524">
        <v>7</v>
      </c>
      <c r="C524" t="s">
        <v>37</v>
      </c>
      <c r="D524" t="s">
        <v>48</v>
      </c>
      <c r="E524" t="s">
        <v>52</v>
      </c>
      <c r="F524">
        <v>89005.61</v>
      </c>
    </row>
    <row r="525" spans="1:6" x14ac:dyDescent="0.3">
      <c r="A525">
        <v>2023</v>
      </c>
      <c r="B525">
        <v>7</v>
      </c>
      <c r="C525" t="s">
        <v>40</v>
      </c>
      <c r="D525" t="s">
        <v>48</v>
      </c>
      <c r="E525" t="s">
        <v>52</v>
      </c>
      <c r="F525">
        <v>11836.61</v>
      </c>
    </row>
    <row r="526" spans="1:6" x14ac:dyDescent="0.3">
      <c r="A526">
        <v>2023</v>
      </c>
      <c r="B526">
        <v>7</v>
      </c>
      <c r="C526" t="s">
        <v>41</v>
      </c>
      <c r="D526" t="s">
        <v>48</v>
      </c>
      <c r="E526" t="s">
        <v>52</v>
      </c>
      <c r="F526">
        <v>93779.66</v>
      </c>
    </row>
    <row r="527" spans="1:6" x14ac:dyDescent="0.3">
      <c r="A527">
        <v>2023</v>
      </c>
      <c r="B527">
        <v>7</v>
      </c>
      <c r="C527" t="s">
        <v>42</v>
      </c>
      <c r="D527" t="s">
        <v>48</v>
      </c>
      <c r="E527" t="s">
        <v>52</v>
      </c>
      <c r="F527">
        <v>118964.69</v>
      </c>
    </row>
    <row r="528" spans="1:6" x14ac:dyDescent="0.3">
      <c r="A528">
        <v>2023</v>
      </c>
      <c r="B528">
        <v>7</v>
      </c>
      <c r="C528" t="s">
        <v>43</v>
      </c>
      <c r="D528" t="s">
        <v>48</v>
      </c>
      <c r="E528" t="s">
        <v>52</v>
      </c>
      <c r="F528">
        <v>108421.08</v>
      </c>
    </row>
    <row r="529" spans="1:6" x14ac:dyDescent="0.3">
      <c r="A529">
        <v>2023</v>
      </c>
      <c r="B529">
        <v>7</v>
      </c>
      <c r="C529" t="s">
        <v>44</v>
      </c>
      <c r="D529" t="s">
        <v>48</v>
      </c>
      <c r="E529" t="s">
        <v>52</v>
      </c>
      <c r="F529">
        <v>64403.68</v>
      </c>
    </row>
    <row r="530" spans="1:6" x14ac:dyDescent="0.3">
      <c r="A530">
        <v>2023</v>
      </c>
      <c r="B530">
        <v>7</v>
      </c>
      <c r="C530" t="s">
        <v>45</v>
      </c>
      <c r="D530" t="s">
        <v>48</v>
      </c>
      <c r="E530" t="s">
        <v>52</v>
      </c>
      <c r="F530">
        <v>45581.9</v>
      </c>
    </row>
    <row r="531" spans="1:6" x14ac:dyDescent="0.3">
      <c r="A531">
        <v>2023</v>
      </c>
      <c r="B531">
        <v>7</v>
      </c>
      <c r="C531" t="s">
        <v>37</v>
      </c>
      <c r="D531" t="s">
        <v>48</v>
      </c>
      <c r="E531" t="s">
        <v>53</v>
      </c>
      <c r="F531">
        <v>59168.52</v>
      </c>
    </row>
    <row r="532" spans="1:6" x14ac:dyDescent="0.3">
      <c r="A532">
        <v>2023</v>
      </c>
      <c r="B532">
        <v>7</v>
      </c>
      <c r="C532" t="s">
        <v>40</v>
      </c>
      <c r="D532" t="s">
        <v>48</v>
      </c>
      <c r="E532" t="s">
        <v>53</v>
      </c>
      <c r="F532">
        <v>38050.639999999999</v>
      </c>
    </row>
    <row r="533" spans="1:6" x14ac:dyDescent="0.3">
      <c r="A533">
        <v>2023</v>
      </c>
      <c r="B533">
        <v>7</v>
      </c>
      <c r="C533" t="s">
        <v>41</v>
      </c>
      <c r="D533" t="s">
        <v>48</v>
      </c>
      <c r="E533" t="s">
        <v>53</v>
      </c>
      <c r="F533">
        <v>111042.36</v>
      </c>
    </row>
    <row r="534" spans="1:6" x14ac:dyDescent="0.3">
      <c r="A534">
        <v>2023</v>
      </c>
      <c r="B534">
        <v>7</v>
      </c>
      <c r="C534" t="s">
        <v>42</v>
      </c>
      <c r="D534" t="s">
        <v>48</v>
      </c>
      <c r="E534" t="s">
        <v>53</v>
      </c>
      <c r="F534">
        <v>27207.4</v>
      </c>
    </row>
    <row r="535" spans="1:6" x14ac:dyDescent="0.3">
      <c r="A535">
        <v>2023</v>
      </c>
      <c r="B535">
        <v>7</v>
      </c>
      <c r="C535" t="s">
        <v>43</v>
      </c>
      <c r="D535" t="s">
        <v>48</v>
      </c>
      <c r="E535" t="s">
        <v>53</v>
      </c>
      <c r="F535">
        <v>92916.35</v>
      </c>
    </row>
    <row r="536" spans="1:6" x14ac:dyDescent="0.3">
      <c r="A536">
        <v>2023</v>
      </c>
      <c r="B536">
        <v>7</v>
      </c>
      <c r="C536" t="s">
        <v>44</v>
      </c>
      <c r="D536" t="s">
        <v>48</v>
      </c>
      <c r="E536" t="s">
        <v>53</v>
      </c>
      <c r="F536">
        <v>124129.64</v>
      </c>
    </row>
    <row r="537" spans="1:6" x14ac:dyDescent="0.3">
      <c r="A537">
        <v>2023</v>
      </c>
      <c r="B537">
        <v>7</v>
      </c>
      <c r="C537" t="s">
        <v>45</v>
      </c>
      <c r="D537" t="s">
        <v>48</v>
      </c>
      <c r="E537" t="s">
        <v>53</v>
      </c>
      <c r="F537">
        <v>73750.570000000007</v>
      </c>
    </row>
    <row r="538" spans="1:6" x14ac:dyDescent="0.3">
      <c r="A538">
        <v>2023</v>
      </c>
      <c r="B538">
        <v>7</v>
      </c>
      <c r="C538" t="s">
        <v>37</v>
      </c>
      <c r="D538" t="s">
        <v>48</v>
      </c>
      <c r="E538" t="s">
        <v>54</v>
      </c>
      <c r="F538">
        <v>19276.22</v>
      </c>
    </row>
    <row r="539" spans="1:6" x14ac:dyDescent="0.3">
      <c r="A539">
        <v>2023</v>
      </c>
      <c r="B539">
        <v>7</v>
      </c>
      <c r="C539" t="s">
        <v>40</v>
      </c>
      <c r="D539" t="s">
        <v>48</v>
      </c>
      <c r="E539" t="s">
        <v>54</v>
      </c>
      <c r="F539">
        <v>129272.57</v>
      </c>
    </row>
    <row r="540" spans="1:6" x14ac:dyDescent="0.3">
      <c r="A540">
        <v>2023</v>
      </c>
      <c r="B540">
        <v>7</v>
      </c>
      <c r="C540" t="s">
        <v>41</v>
      </c>
      <c r="D540" t="s">
        <v>48</v>
      </c>
      <c r="E540" t="s">
        <v>54</v>
      </c>
      <c r="F540">
        <v>18033.59</v>
      </c>
    </row>
    <row r="541" spans="1:6" x14ac:dyDescent="0.3">
      <c r="A541">
        <v>2023</v>
      </c>
      <c r="B541">
        <v>7</v>
      </c>
      <c r="C541" t="s">
        <v>42</v>
      </c>
      <c r="D541" t="s">
        <v>48</v>
      </c>
      <c r="E541" t="s">
        <v>54</v>
      </c>
      <c r="F541">
        <v>64960.05</v>
      </c>
    </row>
    <row r="542" spans="1:6" x14ac:dyDescent="0.3">
      <c r="A542">
        <v>2023</v>
      </c>
      <c r="B542">
        <v>7</v>
      </c>
      <c r="C542" t="s">
        <v>43</v>
      </c>
      <c r="D542" t="s">
        <v>48</v>
      </c>
      <c r="E542" t="s">
        <v>54</v>
      </c>
      <c r="F542">
        <v>13372.43</v>
      </c>
    </row>
    <row r="543" spans="1:6" x14ac:dyDescent="0.3">
      <c r="A543">
        <v>2023</v>
      </c>
      <c r="B543">
        <v>7</v>
      </c>
      <c r="C543" t="s">
        <v>44</v>
      </c>
      <c r="D543" t="s">
        <v>48</v>
      </c>
      <c r="E543" t="s">
        <v>54</v>
      </c>
      <c r="F543">
        <v>104111.2</v>
      </c>
    </row>
    <row r="544" spans="1:6" x14ac:dyDescent="0.3">
      <c r="A544">
        <v>2023</v>
      </c>
      <c r="B544">
        <v>7</v>
      </c>
      <c r="C544" t="s">
        <v>45</v>
      </c>
      <c r="D544" t="s">
        <v>48</v>
      </c>
      <c r="E544" t="s">
        <v>54</v>
      </c>
      <c r="F544">
        <v>63552.43</v>
      </c>
    </row>
    <row r="545" spans="1:6" x14ac:dyDescent="0.3">
      <c r="A545">
        <v>2023</v>
      </c>
      <c r="B545">
        <v>7</v>
      </c>
      <c r="C545" t="s">
        <v>37</v>
      </c>
      <c r="D545" t="s">
        <v>48</v>
      </c>
      <c r="E545" t="s">
        <v>55</v>
      </c>
      <c r="F545">
        <v>65650.78</v>
      </c>
    </row>
    <row r="546" spans="1:6" x14ac:dyDescent="0.3">
      <c r="A546">
        <v>2023</v>
      </c>
      <c r="B546">
        <v>7</v>
      </c>
      <c r="C546" t="s">
        <v>40</v>
      </c>
      <c r="D546" t="s">
        <v>48</v>
      </c>
      <c r="E546" t="s">
        <v>55</v>
      </c>
      <c r="F546">
        <v>34098.33</v>
      </c>
    </row>
    <row r="547" spans="1:6" x14ac:dyDescent="0.3">
      <c r="A547">
        <v>2023</v>
      </c>
      <c r="B547">
        <v>7</v>
      </c>
      <c r="C547" t="s">
        <v>41</v>
      </c>
      <c r="D547" t="s">
        <v>48</v>
      </c>
      <c r="E547" t="s">
        <v>55</v>
      </c>
      <c r="F547">
        <v>74161.09</v>
      </c>
    </row>
    <row r="548" spans="1:6" x14ac:dyDescent="0.3">
      <c r="A548">
        <v>2023</v>
      </c>
      <c r="B548">
        <v>7</v>
      </c>
      <c r="C548" t="s">
        <v>42</v>
      </c>
      <c r="D548" t="s">
        <v>48</v>
      </c>
      <c r="E548" t="s">
        <v>55</v>
      </c>
      <c r="F548">
        <v>86607.039999999994</v>
      </c>
    </row>
    <row r="549" spans="1:6" x14ac:dyDescent="0.3">
      <c r="A549">
        <v>2023</v>
      </c>
      <c r="B549">
        <v>7</v>
      </c>
      <c r="C549" t="s">
        <v>43</v>
      </c>
      <c r="D549" t="s">
        <v>48</v>
      </c>
      <c r="E549" t="s">
        <v>55</v>
      </c>
      <c r="F549">
        <v>73573.009999999995</v>
      </c>
    </row>
    <row r="550" spans="1:6" x14ac:dyDescent="0.3">
      <c r="A550">
        <v>2023</v>
      </c>
      <c r="B550">
        <v>7</v>
      </c>
      <c r="C550" t="s">
        <v>44</v>
      </c>
      <c r="D550" t="s">
        <v>48</v>
      </c>
      <c r="E550" t="s">
        <v>55</v>
      </c>
      <c r="F550">
        <v>14753.02</v>
      </c>
    </row>
    <row r="551" spans="1:6" x14ac:dyDescent="0.3">
      <c r="A551">
        <v>2023</v>
      </c>
      <c r="B551">
        <v>7</v>
      </c>
      <c r="C551" t="s">
        <v>45</v>
      </c>
      <c r="D551" t="s">
        <v>48</v>
      </c>
      <c r="E551" t="s">
        <v>55</v>
      </c>
      <c r="F551">
        <v>124741.38</v>
      </c>
    </row>
    <row r="552" spans="1:6" x14ac:dyDescent="0.3">
      <c r="A552">
        <v>2023</v>
      </c>
      <c r="B552">
        <v>7</v>
      </c>
      <c r="C552" t="s">
        <v>37</v>
      </c>
      <c r="D552" t="s">
        <v>48</v>
      </c>
      <c r="E552" t="s">
        <v>56</v>
      </c>
      <c r="F552">
        <v>73334.27</v>
      </c>
    </row>
    <row r="553" spans="1:6" x14ac:dyDescent="0.3">
      <c r="A553">
        <v>2023</v>
      </c>
      <c r="B553">
        <v>7</v>
      </c>
      <c r="C553" t="s">
        <v>40</v>
      </c>
      <c r="D553" t="s">
        <v>48</v>
      </c>
      <c r="E553" t="s">
        <v>56</v>
      </c>
      <c r="F553">
        <v>80586.2</v>
      </c>
    </row>
    <row r="554" spans="1:6" x14ac:dyDescent="0.3">
      <c r="A554">
        <v>2023</v>
      </c>
      <c r="B554">
        <v>7</v>
      </c>
      <c r="C554" t="s">
        <v>41</v>
      </c>
      <c r="D554" t="s">
        <v>48</v>
      </c>
      <c r="E554" t="s">
        <v>56</v>
      </c>
      <c r="F554">
        <v>40299.800000000003</v>
      </c>
    </row>
    <row r="555" spans="1:6" x14ac:dyDescent="0.3">
      <c r="A555">
        <v>2023</v>
      </c>
      <c r="B555">
        <v>7</v>
      </c>
      <c r="C555" t="s">
        <v>42</v>
      </c>
      <c r="D555" t="s">
        <v>48</v>
      </c>
      <c r="E555" t="s">
        <v>56</v>
      </c>
      <c r="F555">
        <v>80739.5</v>
      </c>
    </row>
    <row r="556" spans="1:6" x14ac:dyDescent="0.3">
      <c r="A556">
        <v>2023</v>
      </c>
      <c r="B556">
        <v>7</v>
      </c>
      <c r="C556" t="s">
        <v>43</v>
      </c>
      <c r="D556" t="s">
        <v>48</v>
      </c>
      <c r="E556" t="s">
        <v>56</v>
      </c>
      <c r="F556">
        <v>138919.73000000001</v>
      </c>
    </row>
    <row r="557" spans="1:6" x14ac:dyDescent="0.3">
      <c r="A557">
        <v>2023</v>
      </c>
      <c r="B557">
        <v>7</v>
      </c>
      <c r="C557" t="s">
        <v>44</v>
      </c>
      <c r="D557" t="s">
        <v>48</v>
      </c>
      <c r="E557" t="s">
        <v>56</v>
      </c>
      <c r="F557">
        <v>120073.34</v>
      </c>
    </row>
    <row r="558" spans="1:6" x14ac:dyDescent="0.3">
      <c r="A558">
        <v>2023</v>
      </c>
      <c r="B558">
        <v>7</v>
      </c>
      <c r="C558" t="s">
        <v>45</v>
      </c>
      <c r="D558" t="s">
        <v>48</v>
      </c>
      <c r="E558" t="s">
        <v>56</v>
      </c>
      <c r="F558">
        <v>54684.95</v>
      </c>
    </row>
    <row r="559" spans="1:6" x14ac:dyDescent="0.3">
      <c r="A559">
        <v>2023</v>
      </c>
      <c r="B559">
        <v>7</v>
      </c>
      <c r="C559" t="s">
        <v>37</v>
      </c>
      <c r="D559" t="s">
        <v>57</v>
      </c>
      <c r="E559" t="s">
        <v>58</v>
      </c>
      <c r="F559">
        <v>75071.34</v>
      </c>
    </row>
    <row r="560" spans="1:6" x14ac:dyDescent="0.3">
      <c r="A560">
        <v>2023</v>
      </c>
      <c r="B560">
        <v>7</v>
      </c>
      <c r="C560" t="s">
        <v>37</v>
      </c>
      <c r="D560" t="s">
        <v>57</v>
      </c>
      <c r="E560" t="s">
        <v>59</v>
      </c>
      <c r="F560">
        <v>137865.34</v>
      </c>
    </row>
    <row r="561" spans="1:6" x14ac:dyDescent="0.3">
      <c r="A561">
        <v>2023</v>
      </c>
      <c r="B561">
        <v>7</v>
      </c>
      <c r="C561" t="s">
        <v>37</v>
      </c>
      <c r="D561" t="s">
        <v>57</v>
      </c>
      <c r="E561" t="s">
        <v>60</v>
      </c>
      <c r="F561">
        <v>42774.2</v>
      </c>
    </row>
    <row r="562" spans="1:6" x14ac:dyDescent="0.3">
      <c r="A562">
        <v>2023</v>
      </c>
      <c r="B562">
        <v>8</v>
      </c>
      <c r="C562" t="s">
        <v>37</v>
      </c>
      <c r="D562" t="s">
        <v>38</v>
      </c>
      <c r="E562" t="s">
        <v>39</v>
      </c>
      <c r="F562">
        <v>63781.05</v>
      </c>
    </row>
    <row r="563" spans="1:6" x14ac:dyDescent="0.3">
      <c r="A563">
        <v>2023</v>
      </c>
      <c r="B563">
        <v>8</v>
      </c>
      <c r="C563" t="s">
        <v>40</v>
      </c>
      <c r="D563" t="s">
        <v>38</v>
      </c>
      <c r="E563" t="s">
        <v>39</v>
      </c>
      <c r="F563">
        <v>43886.31</v>
      </c>
    </row>
    <row r="564" spans="1:6" x14ac:dyDescent="0.3">
      <c r="A564">
        <v>2023</v>
      </c>
      <c r="B564">
        <v>8</v>
      </c>
      <c r="C564" t="s">
        <v>41</v>
      </c>
      <c r="D564" t="s">
        <v>38</v>
      </c>
      <c r="E564" t="s">
        <v>39</v>
      </c>
      <c r="F564">
        <v>20819.18</v>
      </c>
    </row>
    <row r="565" spans="1:6" x14ac:dyDescent="0.3">
      <c r="A565">
        <v>2023</v>
      </c>
      <c r="B565">
        <v>8</v>
      </c>
      <c r="C565" t="s">
        <v>42</v>
      </c>
      <c r="D565" t="s">
        <v>38</v>
      </c>
      <c r="E565" t="s">
        <v>39</v>
      </c>
      <c r="F565">
        <v>22275.279999999999</v>
      </c>
    </row>
    <row r="566" spans="1:6" x14ac:dyDescent="0.3">
      <c r="A566">
        <v>2023</v>
      </c>
      <c r="B566">
        <v>8</v>
      </c>
      <c r="C566" t="s">
        <v>43</v>
      </c>
      <c r="D566" t="s">
        <v>38</v>
      </c>
      <c r="E566" t="s">
        <v>39</v>
      </c>
      <c r="F566">
        <v>66965.19</v>
      </c>
    </row>
    <row r="567" spans="1:6" x14ac:dyDescent="0.3">
      <c r="A567">
        <v>2023</v>
      </c>
      <c r="B567">
        <v>8</v>
      </c>
      <c r="C567" t="s">
        <v>44</v>
      </c>
      <c r="D567" t="s">
        <v>38</v>
      </c>
      <c r="E567" t="s">
        <v>39</v>
      </c>
      <c r="F567">
        <v>26546.09</v>
      </c>
    </row>
    <row r="568" spans="1:6" x14ac:dyDescent="0.3">
      <c r="A568">
        <v>2023</v>
      </c>
      <c r="B568">
        <v>8</v>
      </c>
      <c r="C568" t="s">
        <v>45</v>
      </c>
      <c r="D568" t="s">
        <v>38</v>
      </c>
      <c r="E568" t="s">
        <v>39</v>
      </c>
      <c r="F568">
        <v>37060.35</v>
      </c>
    </row>
    <row r="569" spans="1:6" x14ac:dyDescent="0.3">
      <c r="A569">
        <v>2023</v>
      </c>
      <c r="B569">
        <v>8</v>
      </c>
      <c r="C569" t="s">
        <v>37</v>
      </c>
      <c r="D569" t="s">
        <v>38</v>
      </c>
      <c r="E569" t="s">
        <v>46</v>
      </c>
      <c r="F569">
        <v>84258.3</v>
      </c>
    </row>
    <row r="570" spans="1:6" x14ac:dyDescent="0.3">
      <c r="A570">
        <v>2023</v>
      </c>
      <c r="B570">
        <v>8</v>
      </c>
      <c r="C570" t="s">
        <v>40</v>
      </c>
      <c r="D570" t="s">
        <v>38</v>
      </c>
      <c r="E570" t="s">
        <v>46</v>
      </c>
      <c r="F570">
        <v>49641.62</v>
      </c>
    </row>
    <row r="571" spans="1:6" x14ac:dyDescent="0.3">
      <c r="A571">
        <v>2023</v>
      </c>
      <c r="B571">
        <v>8</v>
      </c>
      <c r="C571" t="s">
        <v>41</v>
      </c>
      <c r="D571" t="s">
        <v>38</v>
      </c>
      <c r="E571" t="s">
        <v>46</v>
      </c>
      <c r="F571">
        <v>62935.29</v>
      </c>
    </row>
    <row r="572" spans="1:6" x14ac:dyDescent="0.3">
      <c r="A572">
        <v>2023</v>
      </c>
      <c r="B572">
        <v>8</v>
      </c>
      <c r="C572" t="s">
        <v>42</v>
      </c>
      <c r="D572" t="s">
        <v>38</v>
      </c>
      <c r="E572" t="s">
        <v>46</v>
      </c>
      <c r="F572">
        <v>40765.599999999999</v>
      </c>
    </row>
    <row r="573" spans="1:6" x14ac:dyDescent="0.3">
      <c r="A573">
        <v>2023</v>
      </c>
      <c r="B573">
        <v>8</v>
      </c>
      <c r="C573" t="s">
        <v>43</v>
      </c>
      <c r="D573" t="s">
        <v>38</v>
      </c>
      <c r="E573" t="s">
        <v>46</v>
      </c>
      <c r="F573">
        <v>34010.22</v>
      </c>
    </row>
    <row r="574" spans="1:6" x14ac:dyDescent="0.3">
      <c r="A574">
        <v>2023</v>
      </c>
      <c r="B574">
        <v>8</v>
      </c>
      <c r="C574" t="s">
        <v>44</v>
      </c>
      <c r="D574" t="s">
        <v>38</v>
      </c>
      <c r="E574" t="s">
        <v>46</v>
      </c>
      <c r="F574">
        <v>93580.02</v>
      </c>
    </row>
    <row r="575" spans="1:6" x14ac:dyDescent="0.3">
      <c r="A575">
        <v>2023</v>
      </c>
      <c r="B575">
        <v>8</v>
      </c>
      <c r="C575" t="s">
        <v>45</v>
      </c>
      <c r="D575" t="s">
        <v>38</v>
      </c>
      <c r="E575" t="s">
        <v>46</v>
      </c>
      <c r="F575">
        <v>102746.48</v>
      </c>
    </row>
    <row r="576" spans="1:6" x14ac:dyDescent="0.3">
      <c r="A576">
        <v>2023</v>
      </c>
      <c r="B576">
        <v>8</v>
      </c>
      <c r="C576" t="s">
        <v>37</v>
      </c>
      <c r="D576" t="s">
        <v>38</v>
      </c>
      <c r="E576" t="s">
        <v>47</v>
      </c>
      <c r="F576">
        <v>107218.6</v>
      </c>
    </row>
    <row r="577" spans="1:6" x14ac:dyDescent="0.3">
      <c r="A577">
        <v>2023</v>
      </c>
      <c r="B577">
        <v>8</v>
      </c>
      <c r="C577" t="s">
        <v>40</v>
      </c>
      <c r="D577" t="s">
        <v>38</v>
      </c>
      <c r="E577" t="s">
        <v>47</v>
      </c>
      <c r="F577">
        <v>56545.79</v>
      </c>
    </row>
    <row r="578" spans="1:6" x14ac:dyDescent="0.3">
      <c r="A578">
        <v>2023</v>
      </c>
      <c r="B578">
        <v>8</v>
      </c>
      <c r="C578" t="s">
        <v>41</v>
      </c>
      <c r="D578" t="s">
        <v>38</v>
      </c>
      <c r="E578" t="s">
        <v>47</v>
      </c>
      <c r="F578">
        <v>25483.86</v>
      </c>
    </row>
    <row r="579" spans="1:6" x14ac:dyDescent="0.3">
      <c r="A579">
        <v>2023</v>
      </c>
      <c r="B579">
        <v>8</v>
      </c>
      <c r="C579" t="s">
        <v>42</v>
      </c>
      <c r="D579" t="s">
        <v>38</v>
      </c>
      <c r="E579" t="s">
        <v>47</v>
      </c>
      <c r="F579">
        <v>35895.17</v>
      </c>
    </row>
    <row r="580" spans="1:6" x14ac:dyDescent="0.3">
      <c r="A580">
        <v>2023</v>
      </c>
      <c r="B580">
        <v>8</v>
      </c>
      <c r="C580" t="s">
        <v>43</v>
      </c>
      <c r="D580" t="s">
        <v>38</v>
      </c>
      <c r="E580" t="s">
        <v>47</v>
      </c>
      <c r="F580">
        <v>57108.45</v>
      </c>
    </row>
    <row r="581" spans="1:6" x14ac:dyDescent="0.3">
      <c r="A581">
        <v>2023</v>
      </c>
      <c r="B581">
        <v>8</v>
      </c>
      <c r="C581" t="s">
        <v>44</v>
      </c>
      <c r="D581" t="s">
        <v>38</v>
      </c>
      <c r="E581" t="s">
        <v>47</v>
      </c>
      <c r="F581">
        <v>71708.56</v>
      </c>
    </row>
    <row r="582" spans="1:6" x14ac:dyDescent="0.3">
      <c r="A582">
        <v>2023</v>
      </c>
      <c r="B582">
        <v>8</v>
      </c>
      <c r="C582" t="s">
        <v>45</v>
      </c>
      <c r="D582" t="s">
        <v>38</v>
      </c>
      <c r="E582" t="s">
        <v>47</v>
      </c>
      <c r="F582">
        <v>111738.11</v>
      </c>
    </row>
    <row r="583" spans="1:6" x14ac:dyDescent="0.3">
      <c r="A583">
        <v>2023</v>
      </c>
      <c r="B583">
        <v>8</v>
      </c>
      <c r="C583" t="s">
        <v>37</v>
      </c>
      <c r="D583" t="s">
        <v>48</v>
      </c>
      <c r="E583" t="s">
        <v>49</v>
      </c>
      <c r="F583">
        <v>110047.91</v>
      </c>
    </row>
    <row r="584" spans="1:6" x14ac:dyDescent="0.3">
      <c r="A584">
        <v>2023</v>
      </c>
      <c r="B584">
        <v>8</v>
      </c>
      <c r="C584" t="s">
        <v>40</v>
      </c>
      <c r="D584" t="s">
        <v>48</v>
      </c>
      <c r="E584" t="s">
        <v>49</v>
      </c>
      <c r="F584">
        <v>63620.9</v>
      </c>
    </row>
    <row r="585" spans="1:6" x14ac:dyDescent="0.3">
      <c r="A585">
        <v>2023</v>
      </c>
      <c r="B585">
        <v>8</v>
      </c>
      <c r="C585" t="s">
        <v>41</v>
      </c>
      <c r="D585" t="s">
        <v>48</v>
      </c>
      <c r="E585" t="s">
        <v>49</v>
      </c>
      <c r="F585">
        <v>86017.12</v>
      </c>
    </row>
    <row r="586" spans="1:6" x14ac:dyDescent="0.3">
      <c r="A586">
        <v>2023</v>
      </c>
      <c r="B586">
        <v>8</v>
      </c>
      <c r="C586" t="s">
        <v>42</v>
      </c>
      <c r="D586" t="s">
        <v>48</v>
      </c>
      <c r="E586" t="s">
        <v>49</v>
      </c>
      <c r="F586">
        <v>88924.36</v>
      </c>
    </row>
    <row r="587" spans="1:6" x14ac:dyDescent="0.3">
      <c r="A587">
        <v>2023</v>
      </c>
      <c r="B587">
        <v>8</v>
      </c>
      <c r="C587" t="s">
        <v>43</v>
      </c>
      <c r="D587" t="s">
        <v>48</v>
      </c>
      <c r="E587" t="s">
        <v>49</v>
      </c>
      <c r="F587">
        <v>81235.289999999994</v>
      </c>
    </row>
    <row r="588" spans="1:6" x14ac:dyDescent="0.3">
      <c r="A588">
        <v>2023</v>
      </c>
      <c r="B588">
        <v>8</v>
      </c>
      <c r="C588" t="s">
        <v>44</v>
      </c>
      <c r="D588" t="s">
        <v>48</v>
      </c>
      <c r="E588" t="s">
        <v>49</v>
      </c>
      <c r="F588">
        <v>29193.07</v>
      </c>
    </row>
    <row r="589" spans="1:6" x14ac:dyDescent="0.3">
      <c r="A589">
        <v>2023</v>
      </c>
      <c r="B589">
        <v>8</v>
      </c>
      <c r="C589" t="s">
        <v>45</v>
      </c>
      <c r="D589" t="s">
        <v>48</v>
      </c>
      <c r="E589" t="s">
        <v>49</v>
      </c>
      <c r="F589">
        <v>93079.32</v>
      </c>
    </row>
    <row r="590" spans="1:6" x14ac:dyDescent="0.3">
      <c r="A590">
        <v>2023</v>
      </c>
      <c r="B590">
        <v>8</v>
      </c>
      <c r="C590" t="s">
        <v>37</v>
      </c>
      <c r="D590" t="s">
        <v>48</v>
      </c>
      <c r="E590" t="s">
        <v>50</v>
      </c>
      <c r="F590">
        <v>65834.559999999998</v>
      </c>
    </row>
    <row r="591" spans="1:6" x14ac:dyDescent="0.3">
      <c r="A591">
        <v>2023</v>
      </c>
      <c r="B591">
        <v>8</v>
      </c>
      <c r="C591" t="s">
        <v>40</v>
      </c>
      <c r="D591" t="s">
        <v>48</v>
      </c>
      <c r="E591" t="s">
        <v>50</v>
      </c>
      <c r="F591">
        <v>117255.73</v>
      </c>
    </row>
    <row r="592" spans="1:6" x14ac:dyDescent="0.3">
      <c r="A592">
        <v>2023</v>
      </c>
      <c r="B592">
        <v>8</v>
      </c>
      <c r="C592" t="s">
        <v>41</v>
      </c>
      <c r="D592" t="s">
        <v>48</v>
      </c>
      <c r="E592" t="s">
        <v>50</v>
      </c>
      <c r="F592">
        <v>66980.679999999993</v>
      </c>
    </row>
    <row r="593" spans="1:6" x14ac:dyDescent="0.3">
      <c r="A593">
        <v>2023</v>
      </c>
      <c r="B593">
        <v>8</v>
      </c>
      <c r="C593" t="s">
        <v>42</v>
      </c>
      <c r="D593" t="s">
        <v>48</v>
      </c>
      <c r="E593" t="s">
        <v>50</v>
      </c>
      <c r="F593">
        <v>71893.98</v>
      </c>
    </row>
    <row r="594" spans="1:6" x14ac:dyDescent="0.3">
      <c r="A594">
        <v>2023</v>
      </c>
      <c r="B594">
        <v>8</v>
      </c>
      <c r="C594" t="s">
        <v>43</v>
      </c>
      <c r="D594" t="s">
        <v>48</v>
      </c>
      <c r="E594" t="s">
        <v>50</v>
      </c>
      <c r="F594">
        <v>124715.43</v>
      </c>
    </row>
    <row r="595" spans="1:6" x14ac:dyDescent="0.3">
      <c r="A595">
        <v>2023</v>
      </c>
      <c r="B595">
        <v>8</v>
      </c>
      <c r="C595" t="s">
        <v>44</v>
      </c>
      <c r="D595" t="s">
        <v>48</v>
      </c>
      <c r="E595" t="s">
        <v>50</v>
      </c>
      <c r="F595">
        <v>88986.23</v>
      </c>
    </row>
    <row r="596" spans="1:6" x14ac:dyDescent="0.3">
      <c r="A596">
        <v>2023</v>
      </c>
      <c r="B596">
        <v>8</v>
      </c>
      <c r="C596" t="s">
        <v>45</v>
      </c>
      <c r="D596" t="s">
        <v>48</v>
      </c>
      <c r="E596" t="s">
        <v>50</v>
      </c>
      <c r="F596">
        <v>67422.009999999995</v>
      </c>
    </row>
    <row r="597" spans="1:6" x14ac:dyDescent="0.3">
      <c r="A597">
        <v>2023</v>
      </c>
      <c r="B597">
        <v>8</v>
      </c>
      <c r="C597" t="s">
        <v>37</v>
      </c>
      <c r="D597" t="s">
        <v>48</v>
      </c>
      <c r="E597" t="s">
        <v>51</v>
      </c>
      <c r="F597">
        <v>27881.52</v>
      </c>
    </row>
    <row r="598" spans="1:6" x14ac:dyDescent="0.3">
      <c r="A598">
        <v>2023</v>
      </c>
      <c r="B598">
        <v>8</v>
      </c>
      <c r="C598" t="s">
        <v>40</v>
      </c>
      <c r="D598" t="s">
        <v>48</v>
      </c>
      <c r="E598" t="s">
        <v>51</v>
      </c>
      <c r="F598">
        <v>23666.69</v>
      </c>
    </row>
    <row r="599" spans="1:6" x14ac:dyDescent="0.3">
      <c r="A599">
        <v>2023</v>
      </c>
      <c r="B599">
        <v>8</v>
      </c>
      <c r="C599" t="s">
        <v>41</v>
      </c>
      <c r="D599" t="s">
        <v>48</v>
      </c>
      <c r="E599" t="s">
        <v>51</v>
      </c>
      <c r="F599">
        <v>58296.62</v>
      </c>
    </row>
    <row r="600" spans="1:6" x14ac:dyDescent="0.3">
      <c r="A600">
        <v>2023</v>
      </c>
      <c r="B600">
        <v>8</v>
      </c>
      <c r="C600" t="s">
        <v>42</v>
      </c>
      <c r="D600" t="s">
        <v>48</v>
      </c>
      <c r="E600" t="s">
        <v>51</v>
      </c>
      <c r="F600">
        <v>90023.54</v>
      </c>
    </row>
    <row r="601" spans="1:6" x14ac:dyDescent="0.3">
      <c r="A601">
        <v>2023</v>
      </c>
      <c r="B601">
        <v>8</v>
      </c>
      <c r="C601" t="s">
        <v>43</v>
      </c>
      <c r="D601" t="s">
        <v>48</v>
      </c>
      <c r="E601" t="s">
        <v>51</v>
      </c>
      <c r="F601">
        <v>65353.5</v>
      </c>
    </row>
    <row r="602" spans="1:6" x14ac:dyDescent="0.3">
      <c r="A602">
        <v>2023</v>
      </c>
      <c r="B602">
        <v>8</v>
      </c>
      <c r="C602" t="s">
        <v>44</v>
      </c>
      <c r="D602" t="s">
        <v>48</v>
      </c>
      <c r="E602" t="s">
        <v>51</v>
      </c>
      <c r="F602">
        <v>120148</v>
      </c>
    </row>
    <row r="603" spans="1:6" x14ac:dyDescent="0.3">
      <c r="A603">
        <v>2023</v>
      </c>
      <c r="B603">
        <v>8</v>
      </c>
      <c r="C603" t="s">
        <v>45</v>
      </c>
      <c r="D603" t="s">
        <v>48</v>
      </c>
      <c r="E603" t="s">
        <v>51</v>
      </c>
      <c r="F603">
        <v>97275.9</v>
      </c>
    </row>
    <row r="604" spans="1:6" x14ac:dyDescent="0.3">
      <c r="A604">
        <v>2023</v>
      </c>
      <c r="B604">
        <v>8</v>
      </c>
      <c r="C604" t="s">
        <v>37</v>
      </c>
      <c r="D604" t="s">
        <v>48</v>
      </c>
      <c r="E604" t="s">
        <v>52</v>
      </c>
      <c r="F604">
        <v>31961.54</v>
      </c>
    </row>
    <row r="605" spans="1:6" x14ac:dyDescent="0.3">
      <c r="A605">
        <v>2023</v>
      </c>
      <c r="B605">
        <v>8</v>
      </c>
      <c r="C605" t="s">
        <v>40</v>
      </c>
      <c r="D605" t="s">
        <v>48</v>
      </c>
      <c r="E605" t="s">
        <v>52</v>
      </c>
      <c r="F605">
        <v>69628.91</v>
      </c>
    </row>
    <row r="606" spans="1:6" x14ac:dyDescent="0.3">
      <c r="A606">
        <v>2023</v>
      </c>
      <c r="B606">
        <v>8</v>
      </c>
      <c r="C606" t="s">
        <v>41</v>
      </c>
      <c r="D606" t="s">
        <v>48</v>
      </c>
      <c r="E606" t="s">
        <v>52</v>
      </c>
      <c r="F606">
        <v>129180.24</v>
      </c>
    </row>
    <row r="607" spans="1:6" x14ac:dyDescent="0.3">
      <c r="A607">
        <v>2023</v>
      </c>
      <c r="B607">
        <v>8</v>
      </c>
      <c r="C607" t="s">
        <v>42</v>
      </c>
      <c r="D607" t="s">
        <v>48</v>
      </c>
      <c r="E607" t="s">
        <v>52</v>
      </c>
      <c r="F607">
        <v>80578.11</v>
      </c>
    </row>
    <row r="608" spans="1:6" x14ac:dyDescent="0.3">
      <c r="A608">
        <v>2023</v>
      </c>
      <c r="B608">
        <v>8</v>
      </c>
      <c r="C608" t="s">
        <v>43</v>
      </c>
      <c r="D608" t="s">
        <v>48</v>
      </c>
      <c r="E608" t="s">
        <v>52</v>
      </c>
      <c r="F608">
        <v>42607.53</v>
      </c>
    </row>
    <row r="609" spans="1:6" x14ac:dyDescent="0.3">
      <c r="A609">
        <v>2023</v>
      </c>
      <c r="B609">
        <v>8</v>
      </c>
      <c r="C609" t="s">
        <v>44</v>
      </c>
      <c r="D609" t="s">
        <v>48</v>
      </c>
      <c r="E609" t="s">
        <v>52</v>
      </c>
      <c r="F609">
        <v>83474.600000000006</v>
      </c>
    </row>
    <row r="610" spans="1:6" x14ac:dyDescent="0.3">
      <c r="A610">
        <v>2023</v>
      </c>
      <c r="B610">
        <v>8</v>
      </c>
      <c r="C610" t="s">
        <v>45</v>
      </c>
      <c r="D610" t="s">
        <v>48</v>
      </c>
      <c r="E610" t="s">
        <v>52</v>
      </c>
      <c r="F610">
        <v>25017.279999999999</v>
      </c>
    </row>
    <row r="611" spans="1:6" x14ac:dyDescent="0.3">
      <c r="A611">
        <v>2023</v>
      </c>
      <c r="B611">
        <v>8</v>
      </c>
      <c r="C611" t="s">
        <v>37</v>
      </c>
      <c r="D611" t="s">
        <v>48</v>
      </c>
      <c r="E611" t="s">
        <v>53</v>
      </c>
      <c r="F611">
        <v>19579.43</v>
      </c>
    </row>
    <row r="612" spans="1:6" x14ac:dyDescent="0.3">
      <c r="A612">
        <v>2023</v>
      </c>
      <c r="B612">
        <v>8</v>
      </c>
      <c r="C612" t="s">
        <v>40</v>
      </c>
      <c r="D612" t="s">
        <v>48</v>
      </c>
      <c r="E612" t="s">
        <v>53</v>
      </c>
      <c r="F612">
        <v>27525.45</v>
      </c>
    </row>
    <row r="613" spans="1:6" x14ac:dyDescent="0.3">
      <c r="A613">
        <v>2023</v>
      </c>
      <c r="B613">
        <v>8</v>
      </c>
      <c r="C613" t="s">
        <v>41</v>
      </c>
      <c r="D613" t="s">
        <v>48</v>
      </c>
      <c r="E613" t="s">
        <v>53</v>
      </c>
      <c r="F613">
        <v>130269</v>
      </c>
    </row>
    <row r="614" spans="1:6" x14ac:dyDescent="0.3">
      <c r="A614">
        <v>2023</v>
      </c>
      <c r="B614">
        <v>8</v>
      </c>
      <c r="C614" t="s">
        <v>42</v>
      </c>
      <c r="D614" t="s">
        <v>48</v>
      </c>
      <c r="E614" t="s">
        <v>53</v>
      </c>
      <c r="F614">
        <v>49746.78</v>
      </c>
    </row>
    <row r="615" spans="1:6" x14ac:dyDescent="0.3">
      <c r="A615">
        <v>2023</v>
      </c>
      <c r="B615">
        <v>8</v>
      </c>
      <c r="C615" t="s">
        <v>43</v>
      </c>
      <c r="D615" t="s">
        <v>48</v>
      </c>
      <c r="E615" t="s">
        <v>53</v>
      </c>
      <c r="F615">
        <v>21911.8</v>
      </c>
    </row>
    <row r="616" spans="1:6" x14ac:dyDescent="0.3">
      <c r="A616">
        <v>2023</v>
      </c>
      <c r="B616">
        <v>8</v>
      </c>
      <c r="C616" t="s">
        <v>44</v>
      </c>
      <c r="D616" t="s">
        <v>48</v>
      </c>
      <c r="E616" t="s">
        <v>53</v>
      </c>
      <c r="F616">
        <v>75069.69</v>
      </c>
    </row>
    <row r="617" spans="1:6" x14ac:dyDescent="0.3">
      <c r="A617">
        <v>2023</v>
      </c>
      <c r="B617">
        <v>8</v>
      </c>
      <c r="C617" t="s">
        <v>45</v>
      </c>
      <c r="D617" t="s">
        <v>48</v>
      </c>
      <c r="E617" t="s">
        <v>53</v>
      </c>
      <c r="F617">
        <v>44883.93</v>
      </c>
    </row>
    <row r="618" spans="1:6" x14ac:dyDescent="0.3">
      <c r="A618">
        <v>2023</v>
      </c>
      <c r="B618">
        <v>8</v>
      </c>
      <c r="C618" t="s">
        <v>37</v>
      </c>
      <c r="D618" t="s">
        <v>48</v>
      </c>
      <c r="E618" t="s">
        <v>54</v>
      </c>
      <c r="F618">
        <v>55980.75</v>
      </c>
    </row>
    <row r="619" spans="1:6" x14ac:dyDescent="0.3">
      <c r="A619">
        <v>2023</v>
      </c>
      <c r="B619">
        <v>8</v>
      </c>
      <c r="C619" t="s">
        <v>40</v>
      </c>
      <c r="D619" t="s">
        <v>48</v>
      </c>
      <c r="E619" t="s">
        <v>54</v>
      </c>
      <c r="F619">
        <v>38912.559999999998</v>
      </c>
    </row>
    <row r="620" spans="1:6" x14ac:dyDescent="0.3">
      <c r="A620">
        <v>2023</v>
      </c>
      <c r="B620">
        <v>8</v>
      </c>
      <c r="C620" t="s">
        <v>41</v>
      </c>
      <c r="D620" t="s">
        <v>48</v>
      </c>
      <c r="E620" t="s">
        <v>54</v>
      </c>
      <c r="F620">
        <v>105396.34</v>
      </c>
    </row>
    <row r="621" spans="1:6" x14ac:dyDescent="0.3">
      <c r="A621">
        <v>2023</v>
      </c>
      <c r="B621">
        <v>8</v>
      </c>
      <c r="C621" t="s">
        <v>42</v>
      </c>
      <c r="D621" t="s">
        <v>48</v>
      </c>
      <c r="E621" t="s">
        <v>54</v>
      </c>
      <c r="F621">
        <v>44412.9</v>
      </c>
    </row>
    <row r="622" spans="1:6" x14ac:dyDescent="0.3">
      <c r="A622">
        <v>2023</v>
      </c>
      <c r="B622">
        <v>8</v>
      </c>
      <c r="C622" t="s">
        <v>43</v>
      </c>
      <c r="D622" t="s">
        <v>48</v>
      </c>
      <c r="E622" t="s">
        <v>54</v>
      </c>
      <c r="F622">
        <v>136546.94</v>
      </c>
    </row>
    <row r="623" spans="1:6" x14ac:dyDescent="0.3">
      <c r="A623">
        <v>2023</v>
      </c>
      <c r="B623">
        <v>8</v>
      </c>
      <c r="C623" t="s">
        <v>44</v>
      </c>
      <c r="D623" t="s">
        <v>48</v>
      </c>
      <c r="E623" t="s">
        <v>54</v>
      </c>
      <c r="F623">
        <v>89102.34</v>
      </c>
    </row>
    <row r="624" spans="1:6" x14ac:dyDescent="0.3">
      <c r="A624">
        <v>2023</v>
      </c>
      <c r="B624">
        <v>8</v>
      </c>
      <c r="C624" t="s">
        <v>45</v>
      </c>
      <c r="D624" t="s">
        <v>48</v>
      </c>
      <c r="E624" t="s">
        <v>54</v>
      </c>
      <c r="F624">
        <v>46877.58</v>
      </c>
    </row>
    <row r="625" spans="1:6" x14ac:dyDescent="0.3">
      <c r="A625">
        <v>2023</v>
      </c>
      <c r="B625">
        <v>8</v>
      </c>
      <c r="C625" t="s">
        <v>37</v>
      </c>
      <c r="D625" t="s">
        <v>48</v>
      </c>
      <c r="E625" t="s">
        <v>55</v>
      </c>
      <c r="F625">
        <v>95549.72</v>
      </c>
    </row>
    <row r="626" spans="1:6" x14ac:dyDescent="0.3">
      <c r="A626">
        <v>2023</v>
      </c>
      <c r="B626">
        <v>8</v>
      </c>
      <c r="C626" t="s">
        <v>40</v>
      </c>
      <c r="D626" t="s">
        <v>48</v>
      </c>
      <c r="E626" t="s">
        <v>55</v>
      </c>
      <c r="F626">
        <v>64385.19</v>
      </c>
    </row>
    <row r="627" spans="1:6" x14ac:dyDescent="0.3">
      <c r="A627">
        <v>2023</v>
      </c>
      <c r="B627">
        <v>8</v>
      </c>
      <c r="C627" t="s">
        <v>41</v>
      </c>
      <c r="D627" t="s">
        <v>48</v>
      </c>
      <c r="E627" t="s">
        <v>55</v>
      </c>
      <c r="F627">
        <v>76630.350000000006</v>
      </c>
    </row>
    <row r="628" spans="1:6" x14ac:dyDescent="0.3">
      <c r="A628">
        <v>2023</v>
      </c>
      <c r="B628">
        <v>8</v>
      </c>
      <c r="C628" t="s">
        <v>42</v>
      </c>
      <c r="D628" t="s">
        <v>48</v>
      </c>
      <c r="E628" t="s">
        <v>55</v>
      </c>
      <c r="F628">
        <v>101527.71</v>
      </c>
    </row>
    <row r="629" spans="1:6" x14ac:dyDescent="0.3">
      <c r="A629">
        <v>2023</v>
      </c>
      <c r="B629">
        <v>8</v>
      </c>
      <c r="C629" t="s">
        <v>43</v>
      </c>
      <c r="D629" t="s">
        <v>48</v>
      </c>
      <c r="E629" t="s">
        <v>55</v>
      </c>
      <c r="F629">
        <v>61610.93</v>
      </c>
    </row>
    <row r="630" spans="1:6" x14ac:dyDescent="0.3">
      <c r="A630">
        <v>2023</v>
      </c>
      <c r="B630">
        <v>8</v>
      </c>
      <c r="C630" t="s">
        <v>44</v>
      </c>
      <c r="D630" t="s">
        <v>48</v>
      </c>
      <c r="E630" t="s">
        <v>55</v>
      </c>
      <c r="F630">
        <v>78308.7</v>
      </c>
    </row>
    <row r="631" spans="1:6" x14ac:dyDescent="0.3">
      <c r="A631">
        <v>2023</v>
      </c>
      <c r="B631">
        <v>8</v>
      </c>
      <c r="C631" t="s">
        <v>45</v>
      </c>
      <c r="D631" t="s">
        <v>48</v>
      </c>
      <c r="E631" t="s">
        <v>55</v>
      </c>
      <c r="F631">
        <v>41722.449999999997</v>
      </c>
    </row>
    <row r="632" spans="1:6" x14ac:dyDescent="0.3">
      <c r="A632">
        <v>2023</v>
      </c>
      <c r="B632">
        <v>8</v>
      </c>
      <c r="C632" t="s">
        <v>37</v>
      </c>
      <c r="D632" t="s">
        <v>48</v>
      </c>
      <c r="E632" t="s">
        <v>56</v>
      </c>
      <c r="F632">
        <v>45790.13</v>
      </c>
    </row>
    <row r="633" spans="1:6" x14ac:dyDescent="0.3">
      <c r="A633">
        <v>2023</v>
      </c>
      <c r="B633">
        <v>8</v>
      </c>
      <c r="C633" t="s">
        <v>40</v>
      </c>
      <c r="D633" t="s">
        <v>48</v>
      </c>
      <c r="E633" t="s">
        <v>56</v>
      </c>
      <c r="F633">
        <v>50695.97</v>
      </c>
    </row>
    <row r="634" spans="1:6" x14ac:dyDescent="0.3">
      <c r="A634">
        <v>2023</v>
      </c>
      <c r="B634">
        <v>8</v>
      </c>
      <c r="C634" t="s">
        <v>41</v>
      </c>
      <c r="D634" t="s">
        <v>48</v>
      </c>
      <c r="E634" t="s">
        <v>56</v>
      </c>
      <c r="F634">
        <v>65548.42</v>
      </c>
    </row>
    <row r="635" spans="1:6" x14ac:dyDescent="0.3">
      <c r="A635">
        <v>2023</v>
      </c>
      <c r="B635">
        <v>8</v>
      </c>
      <c r="C635" t="s">
        <v>42</v>
      </c>
      <c r="D635" t="s">
        <v>48</v>
      </c>
      <c r="E635" t="s">
        <v>56</v>
      </c>
      <c r="F635">
        <v>80182.27</v>
      </c>
    </row>
    <row r="636" spans="1:6" x14ac:dyDescent="0.3">
      <c r="A636">
        <v>2023</v>
      </c>
      <c r="B636">
        <v>8</v>
      </c>
      <c r="C636" t="s">
        <v>43</v>
      </c>
      <c r="D636" t="s">
        <v>48</v>
      </c>
      <c r="E636" t="s">
        <v>56</v>
      </c>
      <c r="F636">
        <v>74508.59</v>
      </c>
    </row>
    <row r="637" spans="1:6" x14ac:dyDescent="0.3">
      <c r="A637">
        <v>2023</v>
      </c>
      <c r="B637">
        <v>8</v>
      </c>
      <c r="C637" t="s">
        <v>44</v>
      </c>
      <c r="D637" t="s">
        <v>48</v>
      </c>
      <c r="E637" t="s">
        <v>56</v>
      </c>
      <c r="F637">
        <v>123224.12</v>
      </c>
    </row>
    <row r="638" spans="1:6" x14ac:dyDescent="0.3">
      <c r="A638">
        <v>2023</v>
      </c>
      <c r="B638">
        <v>8</v>
      </c>
      <c r="C638" t="s">
        <v>45</v>
      </c>
      <c r="D638" t="s">
        <v>48</v>
      </c>
      <c r="E638" t="s">
        <v>56</v>
      </c>
      <c r="F638">
        <v>65210.55</v>
      </c>
    </row>
    <row r="639" spans="1:6" x14ac:dyDescent="0.3">
      <c r="A639">
        <v>2023</v>
      </c>
      <c r="B639">
        <v>8</v>
      </c>
      <c r="C639" t="s">
        <v>37</v>
      </c>
      <c r="D639" t="s">
        <v>57</v>
      </c>
      <c r="E639" t="s">
        <v>58</v>
      </c>
      <c r="F639">
        <v>27892.93</v>
      </c>
    </row>
    <row r="640" spans="1:6" x14ac:dyDescent="0.3">
      <c r="A640">
        <v>2023</v>
      </c>
      <c r="B640">
        <v>8</v>
      </c>
      <c r="C640" t="s">
        <v>37</v>
      </c>
      <c r="D640" t="s">
        <v>57</v>
      </c>
      <c r="E640" t="s">
        <v>59</v>
      </c>
      <c r="F640">
        <v>12759.28</v>
      </c>
    </row>
    <row r="641" spans="1:6" x14ac:dyDescent="0.3">
      <c r="A641">
        <v>2023</v>
      </c>
      <c r="B641">
        <v>8</v>
      </c>
      <c r="C641" t="s">
        <v>37</v>
      </c>
      <c r="D641" t="s">
        <v>57</v>
      </c>
      <c r="E641" t="s">
        <v>60</v>
      </c>
      <c r="F641">
        <v>38946.46</v>
      </c>
    </row>
    <row r="642" spans="1:6" x14ac:dyDescent="0.3">
      <c r="A642">
        <v>2023</v>
      </c>
      <c r="B642">
        <v>9</v>
      </c>
      <c r="C642" t="s">
        <v>37</v>
      </c>
      <c r="D642" t="s">
        <v>38</v>
      </c>
      <c r="E642" t="s">
        <v>39</v>
      </c>
      <c r="F642">
        <v>96671.09</v>
      </c>
    </row>
    <row r="643" spans="1:6" x14ac:dyDescent="0.3">
      <c r="A643">
        <v>2023</v>
      </c>
      <c r="B643">
        <v>9</v>
      </c>
      <c r="C643" t="s">
        <v>40</v>
      </c>
      <c r="D643" t="s">
        <v>38</v>
      </c>
      <c r="E643" t="s">
        <v>39</v>
      </c>
      <c r="F643">
        <v>73459.73</v>
      </c>
    </row>
    <row r="644" spans="1:6" x14ac:dyDescent="0.3">
      <c r="A644">
        <v>2023</v>
      </c>
      <c r="B644">
        <v>9</v>
      </c>
      <c r="C644" t="s">
        <v>41</v>
      </c>
      <c r="D644" t="s">
        <v>38</v>
      </c>
      <c r="E644" t="s">
        <v>39</v>
      </c>
      <c r="F644">
        <v>42677.27</v>
      </c>
    </row>
    <row r="645" spans="1:6" x14ac:dyDescent="0.3">
      <c r="A645">
        <v>2023</v>
      </c>
      <c r="B645">
        <v>9</v>
      </c>
      <c r="C645" t="s">
        <v>42</v>
      </c>
      <c r="D645" t="s">
        <v>38</v>
      </c>
      <c r="E645" t="s">
        <v>39</v>
      </c>
      <c r="F645">
        <v>70546.33</v>
      </c>
    </row>
    <row r="646" spans="1:6" x14ac:dyDescent="0.3">
      <c r="A646">
        <v>2023</v>
      </c>
      <c r="B646">
        <v>9</v>
      </c>
      <c r="C646" t="s">
        <v>43</v>
      </c>
      <c r="D646" t="s">
        <v>38</v>
      </c>
      <c r="E646" t="s">
        <v>39</v>
      </c>
      <c r="F646">
        <v>9008.7800000000007</v>
      </c>
    </row>
    <row r="647" spans="1:6" x14ac:dyDescent="0.3">
      <c r="A647">
        <v>2023</v>
      </c>
      <c r="B647">
        <v>9</v>
      </c>
      <c r="C647" t="s">
        <v>44</v>
      </c>
      <c r="D647" t="s">
        <v>38</v>
      </c>
      <c r="E647" t="s">
        <v>39</v>
      </c>
      <c r="F647">
        <v>47220.29</v>
      </c>
    </row>
    <row r="648" spans="1:6" x14ac:dyDescent="0.3">
      <c r="A648">
        <v>2023</v>
      </c>
      <c r="B648">
        <v>9</v>
      </c>
      <c r="C648" t="s">
        <v>45</v>
      </c>
      <c r="D648" t="s">
        <v>38</v>
      </c>
      <c r="E648" t="s">
        <v>39</v>
      </c>
      <c r="F648">
        <v>147676</v>
      </c>
    </row>
    <row r="649" spans="1:6" x14ac:dyDescent="0.3">
      <c r="A649">
        <v>2023</v>
      </c>
      <c r="B649">
        <v>9</v>
      </c>
      <c r="C649" t="s">
        <v>37</v>
      </c>
      <c r="D649" t="s">
        <v>38</v>
      </c>
      <c r="E649" t="s">
        <v>46</v>
      </c>
      <c r="F649">
        <v>36641.74</v>
      </c>
    </row>
    <row r="650" spans="1:6" x14ac:dyDescent="0.3">
      <c r="A650">
        <v>2023</v>
      </c>
      <c r="B650">
        <v>9</v>
      </c>
      <c r="C650" t="s">
        <v>40</v>
      </c>
      <c r="D650" t="s">
        <v>38</v>
      </c>
      <c r="E650" t="s">
        <v>46</v>
      </c>
      <c r="F650">
        <v>18012.12</v>
      </c>
    </row>
    <row r="651" spans="1:6" x14ac:dyDescent="0.3">
      <c r="A651">
        <v>2023</v>
      </c>
      <c r="B651">
        <v>9</v>
      </c>
      <c r="C651" t="s">
        <v>41</v>
      </c>
      <c r="D651" t="s">
        <v>38</v>
      </c>
      <c r="E651" t="s">
        <v>46</v>
      </c>
      <c r="F651">
        <v>76523.350000000006</v>
      </c>
    </row>
    <row r="652" spans="1:6" x14ac:dyDescent="0.3">
      <c r="A652">
        <v>2023</v>
      </c>
      <c r="B652">
        <v>9</v>
      </c>
      <c r="C652" t="s">
        <v>42</v>
      </c>
      <c r="D652" t="s">
        <v>38</v>
      </c>
      <c r="E652" t="s">
        <v>46</v>
      </c>
      <c r="F652">
        <v>85138.54</v>
      </c>
    </row>
    <row r="653" spans="1:6" x14ac:dyDescent="0.3">
      <c r="A653">
        <v>2023</v>
      </c>
      <c r="B653">
        <v>9</v>
      </c>
      <c r="C653" t="s">
        <v>43</v>
      </c>
      <c r="D653" t="s">
        <v>38</v>
      </c>
      <c r="E653" t="s">
        <v>46</v>
      </c>
      <c r="F653">
        <v>122912</v>
      </c>
    </row>
    <row r="654" spans="1:6" x14ac:dyDescent="0.3">
      <c r="A654">
        <v>2023</v>
      </c>
      <c r="B654">
        <v>9</v>
      </c>
      <c r="C654" t="s">
        <v>44</v>
      </c>
      <c r="D654" t="s">
        <v>38</v>
      </c>
      <c r="E654" t="s">
        <v>46</v>
      </c>
      <c r="F654">
        <v>80523.66</v>
      </c>
    </row>
    <row r="655" spans="1:6" x14ac:dyDescent="0.3">
      <c r="A655">
        <v>2023</v>
      </c>
      <c r="B655">
        <v>9</v>
      </c>
      <c r="C655" t="s">
        <v>45</v>
      </c>
      <c r="D655" t="s">
        <v>38</v>
      </c>
      <c r="E655" t="s">
        <v>46</v>
      </c>
      <c r="F655">
        <v>26931.75</v>
      </c>
    </row>
    <row r="656" spans="1:6" x14ac:dyDescent="0.3">
      <c r="A656">
        <v>2023</v>
      </c>
      <c r="B656">
        <v>9</v>
      </c>
      <c r="C656" t="s">
        <v>37</v>
      </c>
      <c r="D656" t="s">
        <v>38</v>
      </c>
      <c r="E656" t="s">
        <v>47</v>
      </c>
      <c r="F656">
        <v>135993.78</v>
      </c>
    </row>
    <row r="657" spans="1:6" x14ac:dyDescent="0.3">
      <c r="A657">
        <v>2023</v>
      </c>
      <c r="B657">
        <v>9</v>
      </c>
      <c r="C657" t="s">
        <v>40</v>
      </c>
      <c r="D657" t="s">
        <v>38</v>
      </c>
      <c r="E657" t="s">
        <v>47</v>
      </c>
      <c r="F657">
        <v>42682.59</v>
      </c>
    </row>
    <row r="658" spans="1:6" x14ac:dyDescent="0.3">
      <c r="A658">
        <v>2023</v>
      </c>
      <c r="B658">
        <v>9</v>
      </c>
      <c r="C658" t="s">
        <v>41</v>
      </c>
      <c r="D658" t="s">
        <v>38</v>
      </c>
      <c r="E658" t="s">
        <v>47</v>
      </c>
      <c r="F658">
        <v>62345.440000000002</v>
      </c>
    </row>
    <row r="659" spans="1:6" x14ac:dyDescent="0.3">
      <c r="A659">
        <v>2023</v>
      </c>
      <c r="B659">
        <v>9</v>
      </c>
      <c r="C659" t="s">
        <v>42</v>
      </c>
      <c r="D659" t="s">
        <v>38</v>
      </c>
      <c r="E659" t="s">
        <v>47</v>
      </c>
      <c r="F659">
        <v>103581.75999999999</v>
      </c>
    </row>
    <row r="660" spans="1:6" x14ac:dyDescent="0.3">
      <c r="A660">
        <v>2023</v>
      </c>
      <c r="B660">
        <v>9</v>
      </c>
      <c r="C660" t="s">
        <v>43</v>
      </c>
      <c r="D660" t="s">
        <v>38</v>
      </c>
      <c r="E660" t="s">
        <v>47</v>
      </c>
      <c r="F660">
        <v>19046.830000000002</v>
      </c>
    </row>
    <row r="661" spans="1:6" x14ac:dyDescent="0.3">
      <c r="A661">
        <v>2023</v>
      </c>
      <c r="B661">
        <v>9</v>
      </c>
      <c r="C661" t="s">
        <v>44</v>
      </c>
      <c r="D661" t="s">
        <v>38</v>
      </c>
      <c r="E661" t="s">
        <v>47</v>
      </c>
      <c r="F661">
        <v>61481.78</v>
      </c>
    </row>
    <row r="662" spans="1:6" x14ac:dyDescent="0.3">
      <c r="A662">
        <v>2023</v>
      </c>
      <c r="B662">
        <v>9</v>
      </c>
      <c r="C662" t="s">
        <v>45</v>
      </c>
      <c r="D662" t="s">
        <v>38</v>
      </c>
      <c r="E662" t="s">
        <v>47</v>
      </c>
      <c r="F662">
        <v>91461.440000000002</v>
      </c>
    </row>
    <row r="663" spans="1:6" x14ac:dyDescent="0.3">
      <c r="A663">
        <v>2023</v>
      </c>
      <c r="B663">
        <v>9</v>
      </c>
      <c r="C663" t="s">
        <v>37</v>
      </c>
      <c r="D663" t="s">
        <v>48</v>
      </c>
      <c r="E663" t="s">
        <v>49</v>
      </c>
      <c r="F663">
        <v>131418.21</v>
      </c>
    </row>
    <row r="664" spans="1:6" x14ac:dyDescent="0.3">
      <c r="A664">
        <v>2023</v>
      </c>
      <c r="B664">
        <v>9</v>
      </c>
      <c r="C664" t="s">
        <v>40</v>
      </c>
      <c r="D664" t="s">
        <v>48</v>
      </c>
      <c r="E664" t="s">
        <v>49</v>
      </c>
      <c r="F664">
        <v>30594.54</v>
      </c>
    </row>
    <row r="665" spans="1:6" x14ac:dyDescent="0.3">
      <c r="A665">
        <v>2023</v>
      </c>
      <c r="B665">
        <v>9</v>
      </c>
      <c r="C665" t="s">
        <v>41</v>
      </c>
      <c r="D665" t="s">
        <v>48</v>
      </c>
      <c r="E665" t="s">
        <v>49</v>
      </c>
      <c r="F665">
        <v>21013.05</v>
      </c>
    </row>
    <row r="666" spans="1:6" x14ac:dyDescent="0.3">
      <c r="A666">
        <v>2023</v>
      </c>
      <c r="B666">
        <v>9</v>
      </c>
      <c r="C666" t="s">
        <v>42</v>
      </c>
      <c r="D666" t="s">
        <v>48</v>
      </c>
      <c r="E666" t="s">
        <v>49</v>
      </c>
      <c r="F666">
        <v>101523.25</v>
      </c>
    </row>
    <row r="667" spans="1:6" x14ac:dyDescent="0.3">
      <c r="A667">
        <v>2023</v>
      </c>
      <c r="B667">
        <v>9</v>
      </c>
      <c r="C667" t="s">
        <v>43</v>
      </c>
      <c r="D667" t="s">
        <v>48</v>
      </c>
      <c r="E667" t="s">
        <v>49</v>
      </c>
      <c r="F667">
        <v>28839.64</v>
      </c>
    </row>
    <row r="668" spans="1:6" x14ac:dyDescent="0.3">
      <c r="A668">
        <v>2023</v>
      </c>
      <c r="B668">
        <v>9</v>
      </c>
      <c r="C668" t="s">
        <v>44</v>
      </c>
      <c r="D668" t="s">
        <v>48</v>
      </c>
      <c r="E668" t="s">
        <v>49</v>
      </c>
      <c r="F668">
        <v>68657.14</v>
      </c>
    </row>
    <row r="669" spans="1:6" x14ac:dyDescent="0.3">
      <c r="A669">
        <v>2023</v>
      </c>
      <c r="B669">
        <v>9</v>
      </c>
      <c r="C669" t="s">
        <v>45</v>
      </c>
      <c r="D669" t="s">
        <v>48</v>
      </c>
      <c r="E669" t="s">
        <v>49</v>
      </c>
      <c r="F669">
        <v>42157.18</v>
      </c>
    </row>
    <row r="670" spans="1:6" x14ac:dyDescent="0.3">
      <c r="A670">
        <v>2023</v>
      </c>
      <c r="B670">
        <v>9</v>
      </c>
      <c r="C670" t="s">
        <v>37</v>
      </c>
      <c r="D670" t="s">
        <v>48</v>
      </c>
      <c r="E670" t="s">
        <v>50</v>
      </c>
      <c r="F670">
        <v>87672.25</v>
      </c>
    </row>
    <row r="671" spans="1:6" x14ac:dyDescent="0.3">
      <c r="A671">
        <v>2023</v>
      </c>
      <c r="B671">
        <v>9</v>
      </c>
      <c r="C671" t="s">
        <v>40</v>
      </c>
      <c r="D671" t="s">
        <v>48</v>
      </c>
      <c r="E671" t="s">
        <v>50</v>
      </c>
      <c r="F671">
        <v>97446.82</v>
      </c>
    </row>
    <row r="672" spans="1:6" x14ac:dyDescent="0.3">
      <c r="A672">
        <v>2023</v>
      </c>
      <c r="B672">
        <v>9</v>
      </c>
      <c r="C672" t="s">
        <v>41</v>
      </c>
      <c r="D672" t="s">
        <v>48</v>
      </c>
      <c r="E672" t="s">
        <v>50</v>
      </c>
      <c r="F672">
        <v>109366.92</v>
      </c>
    </row>
    <row r="673" spans="1:6" x14ac:dyDescent="0.3">
      <c r="A673">
        <v>2023</v>
      </c>
      <c r="B673">
        <v>9</v>
      </c>
      <c r="C673" t="s">
        <v>42</v>
      </c>
      <c r="D673" t="s">
        <v>48</v>
      </c>
      <c r="E673" t="s">
        <v>50</v>
      </c>
      <c r="F673">
        <v>80674.23</v>
      </c>
    </row>
    <row r="674" spans="1:6" x14ac:dyDescent="0.3">
      <c r="A674">
        <v>2023</v>
      </c>
      <c r="B674">
        <v>9</v>
      </c>
      <c r="C674" t="s">
        <v>43</v>
      </c>
      <c r="D674" t="s">
        <v>48</v>
      </c>
      <c r="E674" t="s">
        <v>50</v>
      </c>
      <c r="F674">
        <v>65067.17</v>
      </c>
    </row>
    <row r="675" spans="1:6" x14ac:dyDescent="0.3">
      <c r="A675">
        <v>2023</v>
      </c>
      <c r="B675">
        <v>9</v>
      </c>
      <c r="C675" t="s">
        <v>44</v>
      </c>
      <c r="D675" t="s">
        <v>48</v>
      </c>
      <c r="E675" t="s">
        <v>50</v>
      </c>
      <c r="F675">
        <v>35585.93</v>
      </c>
    </row>
    <row r="676" spans="1:6" x14ac:dyDescent="0.3">
      <c r="A676">
        <v>2023</v>
      </c>
      <c r="B676">
        <v>9</v>
      </c>
      <c r="C676" t="s">
        <v>45</v>
      </c>
      <c r="D676" t="s">
        <v>48</v>
      </c>
      <c r="E676" t="s">
        <v>50</v>
      </c>
      <c r="F676">
        <v>91322.25</v>
      </c>
    </row>
    <row r="677" spans="1:6" x14ac:dyDescent="0.3">
      <c r="A677">
        <v>2023</v>
      </c>
      <c r="B677">
        <v>9</v>
      </c>
      <c r="C677" t="s">
        <v>37</v>
      </c>
      <c r="D677" t="s">
        <v>48</v>
      </c>
      <c r="E677" t="s">
        <v>51</v>
      </c>
      <c r="F677">
        <v>19172.87</v>
      </c>
    </row>
    <row r="678" spans="1:6" x14ac:dyDescent="0.3">
      <c r="A678">
        <v>2023</v>
      </c>
      <c r="B678">
        <v>9</v>
      </c>
      <c r="C678" t="s">
        <v>40</v>
      </c>
      <c r="D678" t="s">
        <v>48</v>
      </c>
      <c r="E678" t="s">
        <v>51</v>
      </c>
      <c r="F678">
        <v>19408.259999999998</v>
      </c>
    </row>
    <row r="679" spans="1:6" x14ac:dyDescent="0.3">
      <c r="A679">
        <v>2023</v>
      </c>
      <c r="B679">
        <v>9</v>
      </c>
      <c r="C679" t="s">
        <v>41</v>
      </c>
      <c r="D679" t="s">
        <v>48</v>
      </c>
      <c r="E679" t="s">
        <v>51</v>
      </c>
      <c r="F679">
        <v>83785.16</v>
      </c>
    </row>
    <row r="680" spans="1:6" x14ac:dyDescent="0.3">
      <c r="A680">
        <v>2023</v>
      </c>
      <c r="B680">
        <v>9</v>
      </c>
      <c r="C680" t="s">
        <v>42</v>
      </c>
      <c r="D680" t="s">
        <v>48</v>
      </c>
      <c r="E680" t="s">
        <v>51</v>
      </c>
      <c r="F680">
        <v>65911.45</v>
      </c>
    </row>
    <row r="681" spans="1:6" x14ac:dyDescent="0.3">
      <c r="A681">
        <v>2023</v>
      </c>
      <c r="B681">
        <v>9</v>
      </c>
      <c r="C681" t="s">
        <v>43</v>
      </c>
      <c r="D681" t="s">
        <v>48</v>
      </c>
      <c r="E681" t="s">
        <v>51</v>
      </c>
      <c r="F681">
        <v>48103.57</v>
      </c>
    </row>
    <row r="682" spans="1:6" x14ac:dyDescent="0.3">
      <c r="A682">
        <v>2023</v>
      </c>
      <c r="B682">
        <v>9</v>
      </c>
      <c r="C682" t="s">
        <v>44</v>
      </c>
      <c r="D682" t="s">
        <v>48</v>
      </c>
      <c r="E682" t="s">
        <v>51</v>
      </c>
      <c r="F682">
        <v>121271.39</v>
      </c>
    </row>
    <row r="683" spans="1:6" x14ac:dyDescent="0.3">
      <c r="A683">
        <v>2023</v>
      </c>
      <c r="B683">
        <v>9</v>
      </c>
      <c r="C683" t="s">
        <v>45</v>
      </c>
      <c r="D683" t="s">
        <v>48</v>
      </c>
      <c r="E683" t="s">
        <v>51</v>
      </c>
      <c r="F683">
        <v>21247.23</v>
      </c>
    </row>
    <row r="684" spans="1:6" x14ac:dyDescent="0.3">
      <c r="A684">
        <v>2023</v>
      </c>
      <c r="B684">
        <v>9</v>
      </c>
      <c r="C684" t="s">
        <v>37</v>
      </c>
      <c r="D684" t="s">
        <v>48</v>
      </c>
      <c r="E684" t="s">
        <v>52</v>
      </c>
      <c r="F684">
        <v>63379.14</v>
      </c>
    </row>
    <row r="685" spans="1:6" x14ac:dyDescent="0.3">
      <c r="A685">
        <v>2023</v>
      </c>
      <c r="B685">
        <v>9</v>
      </c>
      <c r="C685" t="s">
        <v>40</v>
      </c>
      <c r="D685" t="s">
        <v>48</v>
      </c>
      <c r="E685" t="s">
        <v>52</v>
      </c>
      <c r="F685">
        <v>78712.08</v>
      </c>
    </row>
    <row r="686" spans="1:6" x14ac:dyDescent="0.3">
      <c r="A686">
        <v>2023</v>
      </c>
      <c r="B686">
        <v>9</v>
      </c>
      <c r="C686" t="s">
        <v>41</v>
      </c>
      <c r="D686" t="s">
        <v>48</v>
      </c>
      <c r="E686" t="s">
        <v>52</v>
      </c>
      <c r="F686">
        <v>24262.59</v>
      </c>
    </row>
    <row r="687" spans="1:6" x14ac:dyDescent="0.3">
      <c r="A687">
        <v>2023</v>
      </c>
      <c r="B687">
        <v>9</v>
      </c>
      <c r="C687" t="s">
        <v>42</v>
      </c>
      <c r="D687" t="s">
        <v>48</v>
      </c>
      <c r="E687" t="s">
        <v>52</v>
      </c>
      <c r="F687">
        <v>68324.539999999994</v>
      </c>
    </row>
    <row r="688" spans="1:6" x14ac:dyDescent="0.3">
      <c r="A688">
        <v>2023</v>
      </c>
      <c r="B688">
        <v>9</v>
      </c>
      <c r="C688" t="s">
        <v>43</v>
      </c>
      <c r="D688" t="s">
        <v>48</v>
      </c>
      <c r="E688" t="s">
        <v>52</v>
      </c>
      <c r="F688">
        <v>81607.33</v>
      </c>
    </row>
    <row r="689" spans="1:6" x14ac:dyDescent="0.3">
      <c r="A689">
        <v>2023</v>
      </c>
      <c r="B689">
        <v>9</v>
      </c>
      <c r="C689" t="s">
        <v>44</v>
      </c>
      <c r="D689" t="s">
        <v>48</v>
      </c>
      <c r="E689" t="s">
        <v>52</v>
      </c>
      <c r="F689">
        <v>101873.62</v>
      </c>
    </row>
    <row r="690" spans="1:6" x14ac:dyDescent="0.3">
      <c r="A690">
        <v>2023</v>
      </c>
      <c r="B690">
        <v>9</v>
      </c>
      <c r="C690" t="s">
        <v>45</v>
      </c>
      <c r="D690" t="s">
        <v>48</v>
      </c>
      <c r="E690" t="s">
        <v>52</v>
      </c>
      <c r="F690">
        <v>113239.06</v>
      </c>
    </row>
    <row r="691" spans="1:6" x14ac:dyDescent="0.3">
      <c r="A691">
        <v>2023</v>
      </c>
      <c r="B691">
        <v>9</v>
      </c>
      <c r="C691" t="s">
        <v>37</v>
      </c>
      <c r="D691" t="s">
        <v>48</v>
      </c>
      <c r="E691" t="s">
        <v>53</v>
      </c>
      <c r="F691">
        <v>77126.89</v>
      </c>
    </row>
    <row r="692" spans="1:6" x14ac:dyDescent="0.3">
      <c r="A692">
        <v>2023</v>
      </c>
      <c r="B692">
        <v>9</v>
      </c>
      <c r="C692" t="s">
        <v>40</v>
      </c>
      <c r="D692" t="s">
        <v>48</v>
      </c>
      <c r="E692" t="s">
        <v>53</v>
      </c>
      <c r="F692">
        <v>115978.08</v>
      </c>
    </row>
    <row r="693" spans="1:6" x14ac:dyDescent="0.3">
      <c r="A693">
        <v>2023</v>
      </c>
      <c r="B693">
        <v>9</v>
      </c>
      <c r="C693" t="s">
        <v>41</v>
      </c>
      <c r="D693" t="s">
        <v>48</v>
      </c>
      <c r="E693" t="s">
        <v>53</v>
      </c>
      <c r="F693">
        <v>69683.899999999994</v>
      </c>
    </row>
    <row r="694" spans="1:6" x14ac:dyDescent="0.3">
      <c r="A694">
        <v>2023</v>
      </c>
      <c r="B694">
        <v>9</v>
      </c>
      <c r="C694" t="s">
        <v>42</v>
      </c>
      <c r="D694" t="s">
        <v>48</v>
      </c>
      <c r="E694" t="s">
        <v>53</v>
      </c>
      <c r="F694">
        <v>94198.29</v>
      </c>
    </row>
    <row r="695" spans="1:6" x14ac:dyDescent="0.3">
      <c r="A695">
        <v>2023</v>
      </c>
      <c r="B695">
        <v>9</v>
      </c>
      <c r="C695" t="s">
        <v>43</v>
      </c>
      <c r="D695" t="s">
        <v>48</v>
      </c>
      <c r="E695" t="s">
        <v>53</v>
      </c>
      <c r="F695">
        <v>84419.67</v>
      </c>
    </row>
    <row r="696" spans="1:6" x14ac:dyDescent="0.3">
      <c r="A696">
        <v>2023</v>
      </c>
      <c r="B696">
        <v>9</v>
      </c>
      <c r="C696" t="s">
        <v>44</v>
      </c>
      <c r="D696" t="s">
        <v>48</v>
      </c>
      <c r="E696" t="s">
        <v>53</v>
      </c>
      <c r="F696">
        <v>51091.13</v>
      </c>
    </row>
    <row r="697" spans="1:6" x14ac:dyDescent="0.3">
      <c r="A697">
        <v>2023</v>
      </c>
      <c r="B697">
        <v>9</v>
      </c>
      <c r="C697" t="s">
        <v>45</v>
      </c>
      <c r="D697" t="s">
        <v>48</v>
      </c>
      <c r="E697" t="s">
        <v>53</v>
      </c>
      <c r="F697">
        <v>24633.29</v>
      </c>
    </row>
    <row r="698" spans="1:6" x14ac:dyDescent="0.3">
      <c r="A698">
        <v>2023</v>
      </c>
      <c r="B698">
        <v>9</v>
      </c>
      <c r="C698" t="s">
        <v>37</v>
      </c>
      <c r="D698" t="s">
        <v>48</v>
      </c>
      <c r="E698" t="s">
        <v>54</v>
      </c>
      <c r="F698">
        <v>12277.63</v>
      </c>
    </row>
    <row r="699" spans="1:6" x14ac:dyDescent="0.3">
      <c r="A699">
        <v>2023</v>
      </c>
      <c r="B699">
        <v>9</v>
      </c>
      <c r="C699" t="s">
        <v>40</v>
      </c>
      <c r="D699" t="s">
        <v>48</v>
      </c>
      <c r="E699" t="s">
        <v>54</v>
      </c>
      <c r="F699">
        <v>84496.320000000007</v>
      </c>
    </row>
    <row r="700" spans="1:6" x14ac:dyDescent="0.3">
      <c r="A700">
        <v>2023</v>
      </c>
      <c r="B700">
        <v>9</v>
      </c>
      <c r="C700" t="s">
        <v>41</v>
      </c>
      <c r="D700" t="s">
        <v>48</v>
      </c>
      <c r="E700" t="s">
        <v>54</v>
      </c>
      <c r="F700">
        <v>35167.25</v>
      </c>
    </row>
    <row r="701" spans="1:6" x14ac:dyDescent="0.3">
      <c r="A701">
        <v>2023</v>
      </c>
      <c r="B701">
        <v>9</v>
      </c>
      <c r="C701" t="s">
        <v>42</v>
      </c>
      <c r="D701" t="s">
        <v>48</v>
      </c>
      <c r="E701" t="s">
        <v>54</v>
      </c>
      <c r="F701">
        <v>34311.660000000003</v>
      </c>
    </row>
    <row r="702" spans="1:6" x14ac:dyDescent="0.3">
      <c r="A702">
        <v>2023</v>
      </c>
      <c r="B702">
        <v>9</v>
      </c>
      <c r="C702" t="s">
        <v>43</v>
      </c>
      <c r="D702" t="s">
        <v>48</v>
      </c>
      <c r="E702" t="s">
        <v>54</v>
      </c>
      <c r="F702">
        <v>27613.21</v>
      </c>
    </row>
    <row r="703" spans="1:6" x14ac:dyDescent="0.3">
      <c r="A703">
        <v>2023</v>
      </c>
      <c r="B703">
        <v>9</v>
      </c>
      <c r="C703" t="s">
        <v>44</v>
      </c>
      <c r="D703" t="s">
        <v>48</v>
      </c>
      <c r="E703" t="s">
        <v>54</v>
      </c>
      <c r="F703">
        <v>70263.64</v>
      </c>
    </row>
    <row r="704" spans="1:6" x14ac:dyDescent="0.3">
      <c r="A704">
        <v>2023</v>
      </c>
      <c r="B704">
        <v>9</v>
      </c>
      <c r="C704" t="s">
        <v>45</v>
      </c>
      <c r="D704" t="s">
        <v>48</v>
      </c>
      <c r="E704" t="s">
        <v>54</v>
      </c>
      <c r="F704">
        <v>15799.88</v>
      </c>
    </row>
    <row r="705" spans="1:6" x14ac:dyDescent="0.3">
      <c r="A705">
        <v>2023</v>
      </c>
      <c r="B705">
        <v>9</v>
      </c>
      <c r="C705" t="s">
        <v>37</v>
      </c>
      <c r="D705" t="s">
        <v>48</v>
      </c>
      <c r="E705" t="s">
        <v>55</v>
      </c>
      <c r="F705">
        <v>75231.240000000005</v>
      </c>
    </row>
    <row r="706" spans="1:6" x14ac:dyDescent="0.3">
      <c r="A706">
        <v>2023</v>
      </c>
      <c r="B706">
        <v>9</v>
      </c>
      <c r="C706" t="s">
        <v>40</v>
      </c>
      <c r="D706" t="s">
        <v>48</v>
      </c>
      <c r="E706" t="s">
        <v>55</v>
      </c>
      <c r="F706">
        <v>22629.59</v>
      </c>
    </row>
    <row r="707" spans="1:6" x14ac:dyDescent="0.3">
      <c r="A707">
        <v>2023</v>
      </c>
      <c r="B707">
        <v>9</v>
      </c>
      <c r="C707" t="s">
        <v>41</v>
      </c>
      <c r="D707" t="s">
        <v>48</v>
      </c>
      <c r="E707" t="s">
        <v>55</v>
      </c>
      <c r="F707">
        <v>57572.88</v>
      </c>
    </row>
    <row r="708" spans="1:6" x14ac:dyDescent="0.3">
      <c r="A708">
        <v>2023</v>
      </c>
      <c r="B708">
        <v>9</v>
      </c>
      <c r="C708" t="s">
        <v>42</v>
      </c>
      <c r="D708" t="s">
        <v>48</v>
      </c>
      <c r="E708" t="s">
        <v>55</v>
      </c>
      <c r="F708">
        <v>118336.32000000001</v>
      </c>
    </row>
    <row r="709" spans="1:6" x14ac:dyDescent="0.3">
      <c r="A709">
        <v>2023</v>
      </c>
      <c r="B709">
        <v>9</v>
      </c>
      <c r="C709" t="s">
        <v>43</v>
      </c>
      <c r="D709" t="s">
        <v>48</v>
      </c>
      <c r="E709" t="s">
        <v>55</v>
      </c>
      <c r="F709">
        <v>128598.83</v>
      </c>
    </row>
    <row r="710" spans="1:6" x14ac:dyDescent="0.3">
      <c r="A710">
        <v>2023</v>
      </c>
      <c r="B710">
        <v>9</v>
      </c>
      <c r="C710" t="s">
        <v>44</v>
      </c>
      <c r="D710" t="s">
        <v>48</v>
      </c>
      <c r="E710" t="s">
        <v>55</v>
      </c>
      <c r="F710">
        <v>36216.870000000003</v>
      </c>
    </row>
    <row r="711" spans="1:6" x14ac:dyDescent="0.3">
      <c r="A711">
        <v>2023</v>
      </c>
      <c r="B711">
        <v>9</v>
      </c>
      <c r="C711" t="s">
        <v>45</v>
      </c>
      <c r="D711" t="s">
        <v>48</v>
      </c>
      <c r="E711" t="s">
        <v>55</v>
      </c>
      <c r="F711">
        <v>64878.400000000001</v>
      </c>
    </row>
    <row r="712" spans="1:6" x14ac:dyDescent="0.3">
      <c r="A712">
        <v>2023</v>
      </c>
      <c r="B712">
        <v>9</v>
      </c>
      <c r="C712" t="s">
        <v>37</v>
      </c>
      <c r="D712" t="s">
        <v>48</v>
      </c>
      <c r="E712" t="s">
        <v>56</v>
      </c>
      <c r="F712">
        <v>128850.31</v>
      </c>
    </row>
    <row r="713" spans="1:6" x14ac:dyDescent="0.3">
      <c r="A713">
        <v>2023</v>
      </c>
      <c r="B713">
        <v>9</v>
      </c>
      <c r="C713" t="s">
        <v>40</v>
      </c>
      <c r="D713" t="s">
        <v>48</v>
      </c>
      <c r="E713" t="s">
        <v>56</v>
      </c>
      <c r="F713">
        <v>35721.620000000003</v>
      </c>
    </row>
    <row r="714" spans="1:6" x14ac:dyDescent="0.3">
      <c r="A714">
        <v>2023</v>
      </c>
      <c r="B714">
        <v>9</v>
      </c>
      <c r="C714" t="s">
        <v>41</v>
      </c>
      <c r="D714" t="s">
        <v>48</v>
      </c>
      <c r="E714" t="s">
        <v>56</v>
      </c>
      <c r="F714">
        <v>131598.01</v>
      </c>
    </row>
    <row r="715" spans="1:6" x14ac:dyDescent="0.3">
      <c r="A715">
        <v>2023</v>
      </c>
      <c r="B715">
        <v>9</v>
      </c>
      <c r="C715" t="s">
        <v>42</v>
      </c>
      <c r="D715" t="s">
        <v>48</v>
      </c>
      <c r="E715" t="s">
        <v>56</v>
      </c>
      <c r="F715">
        <v>43478.09</v>
      </c>
    </row>
    <row r="716" spans="1:6" x14ac:dyDescent="0.3">
      <c r="A716">
        <v>2023</v>
      </c>
      <c r="B716">
        <v>9</v>
      </c>
      <c r="C716" t="s">
        <v>43</v>
      </c>
      <c r="D716" t="s">
        <v>48</v>
      </c>
      <c r="E716" t="s">
        <v>56</v>
      </c>
      <c r="F716">
        <v>71460.210000000006</v>
      </c>
    </row>
    <row r="717" spans="1:6" x14ac:dyDescent="0.3">
      <c r="A717">
        <v>2023</v>
      </c>
      <c r="B717">
        <v>9</v>
      </c>
      <c r="C717" t="s">
        <v>44</v>
      </c>
      <c r="D717" t="s">
        <v>48</v>
      </c>
      <c r="E717" t="s">
        <v>56</v>
      </c>
      <c r="F717">
        <v>64901.57</v>
      </c>
    </row>
    <row r="718" spans="1:6" x14ac:dyDescent="0.3">
      <c r="A718">
        <v>2023</v>
      </c>
      <c r="B718">
        <v>9</v>
      </c>
      <c r="C718" t="s">
        <v>45</v>
      </c>
      <c r="D718" t="s">
        <v>48</v>
      </c>
      <c r="E718" t="s">
        <v>56</v>
      </c>
      <c r="F718">
        <v>31712.58</v>
      </c>
    </row>
    <row r="719" spans="1:6" x14ac:dyDescent="0.3">
      <c r="A719">
        <v>2023</v>
      </c>
      <c r="B719">
        <v>9</v>
      </c>
      <c r="C719" t="s">
        <v>37</v>
      </c>
      <c r="D719" t="s">
        <v>57</v>
      </c>
      <c r="E719" t="s">
        <v>58</v>
      </c>
      <c r="F719">
        <v>41483.5</v>
      </c>
    </row>
    <row r="720" spans="1:6" x14ac:dyDescent="0.3">
      <c r="A720">
        <v>2023</v>
      </c>
      <c r="B720">
        <v>9</v>
      </c>
      <c r="C720" t="s">
        <v>37</v>
      </c>
      <c r="D720" t="s">
        <v>57</v>
      </c>
      <c r="E720" t="s">
        <v>59</v>
      </c>
      <c r="F720">
        <v>51030.33</v>
      </c>
    </row>
    <row r="721" spans="1:6" x14ac:dyDescent="0.3">
      <c r="A721">
        <v>2023</v>
      </c>
      <c r="B721">
        <v>9</v>
      </c>
      <c r="C721" t="s">
        <v>37</v>
      </c>
      <c r="D721" t="s">
        <v>57</v>
      </c>
      <c r="E721" t="s">
        <v>60</v>
      </c>
      <c r="F721">
        <v>56205.37</v>
      </c>
    </row>
    <row r="722" spans="1:6" x14ac:dyDescent="0.3">
      <c r="A722">
        <v>2023</v>
      </c>
      <c r="B722">
        <v>10</v>
      </c>
      <c r="C722" t="s">
        <v>37</v>
      </c>
      <c r="D722" t="s">
        <v>38</v>
      </c>
      <c r="E722" t="s">
        <v>39</v>
      </c>
      <c r="F722">
        <v>17260.54</v>
      </c>
    </row>
    <row r="723" spans="1:6" x14ac:dyDescent="0.3">
      <c r="A723">
        <v>2023</v>
      </c>
      <c r="B723">
        <v>10</v>
      </c>
      <c r="C723" t="s">
        <v>40</v>
      </c>
      <c r="D723" t="s">
        <v>38</v>
      </c>
      <c r="E723" t="s">
        <v>39</v>
      </c>
      <c r="F723">
        <v>74933.820000000007</v>
      </c>
    </row>
    <row r="724" spans="1:6" x14ac:dyDescent="0.3">
      <c r="A724">
        <v>2023</v>
      </c>
      <c r="B724">
        <v>10</v>
      </c>
      <c r="C724" t="s">
        <v>41</v>
      </c>
      <c r="D724" t="s">
        <v>38</v>
      </c>
      <c r="E724" t="s">
        <v>39</v>
      </c>
      <c r="F724">
        <v>20010.650000000001</v>
      </c>
    </row>
    <row r="725" spans="1:6" x14ac:dyDescent="0.3">
      <c r="A725">
        <v>2023</v>
      </c>
      <c r="B725">
        <v>10</v>
      </c>
      <c r="C725" t="s">
        <v>42</v>
      </c>
      <c r="D725" t="s">
        <v>38</v>
      </c>
      <c r="E725" t="s">
        <v>39</v>
      </c>
      <c r="F725">
        <v>102093.99</v>
      </c>
    </row>
    <row r="726" spans="1:6" x14ac:dyDescent="0.3">
      <c r="A726">
        <v>2023</v>
      </c>
      <c r="B726">
        <v>10</v>
      </c>
      <c r="C726" t="s">
        <v>43</v>
      </c>
      <c r="D726" t="s">
        <v>38</v>
      </c>
      <c r="E726" t="s">
        <v>39</v>
      </c>
      <c r="F726">
        <v>12664.57</v>
      </c>
    </row>
    <row r="727" spans="1:6" x14ac:dyDescent="0.3">
      <c r="A727">
        <v>2023</v>
      </c>
      <c r="B727">
        <v>10</v>
      </c>
      <c r="C727" t="s">
        <v>44</v>
      </c>
      <c r="D727" t="s">
        <v>38</v>
      </c>
      <c r="E727" t="s">
        <v>39</v>
      </c>
      <c r="F727">
        <v>147540.65</v>
      </c>
    </row>
    <row r="728" spans="1:6" x14ac:dyDescent="0.3">
      <c r="A728">
        <v>2023</v>
      </c>
      <c r="B728">
        <v>10</v>
      </c>
      <c r="C728" t="s">
        <v>45</v>
      </c>
      <c r="D728" t="s">
        <v>38</v>
      </c>
      <c r="E728" t="s">
        <v>39</v>
      </c>
      <c r="F728">
        <v>106043.56</v>
      </c>
    </row>
    <row r="729" spans="1:6" x14ac:dyDescent="0.3">
      <c r="A729">
        <v>2023</v>
      </c>
      <c r="B729">
        <v>10</v>
      </c>
      <c r="C729" t="s">
        <v>37</v>
      </c>
      <c r="D729" t="s">
        <v>38</v>
      </c>
      <c r="E729" t="s">
        <v>46</v>
      </c>
      <c r="F729">
        <v>77104.009999999995</v>
      </c>
    </row>
    <row r="730" spans="1:6" x14ac:dyDescent="0.3">
      <c r="A730">
        <v>2023</v>
      </c>
      <c r="B730">
        <v>10</v>
      </c>
      <c r="C730" t="s">
        <v>40</v>
      </c>
      <c r="D730" t="s">
        <v>38</v>
      </c>
      <c r="E730" t="s">
        <v>46</v>
      </c>
      <c r="F730">
        <v>109208.43</v>
      </c>
    </row>
    <row r="731" spans="1:6" x14ac:dyDescent="0.3">
      <c r="A731">
        <v>2023</v>
      </c>
      <c r="B731">
        <v>10</v>
      </c>
      <c r="C731" t="s">
        <v>41</v>
      </c>
      <c r="D731" t="s">
        <v>38</v>
      </c>
      <c r="E731" t="s">
        <v>46</v>
      </c>
      <c r="F731">
        <v>113467.66</v>
      </c>
    </row>
    <row r="732" spans="1:6" x14ac:dyDescent="0.3">
      <c r="A732">
        <v>2023</v>
      </c>
      <c r="B732">
        <v>10</v>
      </c>
      <c r="C732" t="s">
        <v>42</v>
      </c>
      <c r="D732" t="s">
        <v>38</v>
      </c>
      <c r="E732" t="s">
        <v>46</v>
      </c>
      <c r="F732">
        <v>93897.37</v>
      </c>
    </row>
    <row r="733" spans="1:6" x14ac:dyDescent="0.3">
      <c r="A733">
        <v>2023</v>
      </c>
      <c r="B733">
        <v>10</v>
      </c>
      <c r="C733" t="s">
        <v>43</v>
      </c>
      <c r="D733" t="s">
        <v>38</v>
      </c>
      <c r="E733" t="s">
        <v>46</v>
      </c>
      <c r="F733">
        <v>101991.48</v>
      </c>
    </row>
    <row r="734" spans="1:6" x14ac:dyDescent="0.3">
      <c r="A734">
        <v>2023</v>
      </c>
      <c r="B734">
        <v>10</v>
      </c>
      <c r="C734" t="s">
        <v>44</v>
      </c>
      <c r="D734" t="s">
        <v>38</v>
      </c>
      <c r="E734" t="s">
        <v>46</v>
      </c>
      <c r="F734">
        <v>10526.03</v>
      </c>
    </row>
    <row r="735" spans="1:6" x14ac:dyDescent="0.3">
      <c r="A735">
        <v>2023</v>
      </c>
      <c r="B735">
        <v>10</v>
      </c>
      <c r="C735" t="s">
        <v>45</v>
      </c>
      <c r="D735" t="s">
        <v>38</v>
      </c>
      <c r="E735" t="s">
        <v>46</v>
      </c>
      <c r="F735">
        <v>90355.39</v>
      </c>
    </row>
    <row r="736" spans="1:6" x14ac:dyDescent="0.3">
      <c r="A736">
        <v>2023</v>
      </c>
      <c r="B736">
        <v>10</v>
      </c>
      <c r="C736" t="s">
        <v>37</v>
      </c>
      <c r="D736" t="s">
        <v>38</v>
      </c>
      <c r="E736" t="s">
        <v>47</v>
      </c>
      <c r="F736">
        <v>115339.49</v>
      </c>
    </row>
    <row r="737" spans="1:6" x14ac:dyDescent="0.3">
      <c r="A737">
        <v>2023</v>
      </c>
      <c r="B737">
        <v>10</v>
      </c>
      <c r="C737" t="s">
        <v>40</v>
      </c>
      <c r="D737" t="s">
        <v>38</v>
      </c>
      <c r="E737" t="s">
        <v>47</v>
      </c>
      <c r="F737">
        <v>88142.56</v>
      </c>
    </row>
    <row r="738" spans="1:6" x14ac:dyDescent="0.3">
      <c r="A738">
        <v>2023</v>
      </c>
      <c r="B738">
        <v>10</v>
      </c>
      <c r="C738" t="s">
        <v>41</v>
      </c>
      <c r="D738" t="s">
        <v>38</v>
      </c>
      <c r="E738" t="s">
        <v>47</v>
      </c>
      <c r="F738">
        <v>103502.64</v>
      </c>
    </row>
    <row r="739" spans="1:6" x14ac:dyDescent="0.3">
      <c r="A739">
        <v>2023</v>
      </c>
      <c r="B739">
        <v>10</v>
      </c>
      <c r="C739" t="s">
        <v>42</v>
      </c>
      <c r="D739" t="s">
        <v>38</v>
      </c>
      <c r="E739" t="s">
        <v>47</v>
      </c>
      <c r="F739">
        <v>119248.47</v>
      </c>
    </row>
    <row r="740" spans="1:6" x14ac:dyDescent="0.3">
      <c r="A740">
        <v>2023</v>
      </c>
      <c r="B740">
        <v>10</v>
      </c>
      <c r="C740" t="s">
        <v>43</v>
      </c>
      <c r="D740" t="s">
        <v>38</v>
      </c>
      <c r="E740" t="s">
        <v>47</v>
      </c>
      <c r="F740">
        <v>121466.38</v>
      </c>
    </row>
    <row r="741" spans="1:6" x14ac:dyDescent="0.3">
      <c r="A741">
        <v>2023</v>
      </c>
      <c r="B741">
        <v>10</v>
      </c>
      <c r="C741" t="s">
        <v>44</v>
      </c>
      <c r="D741" t="s">
        <v>38</v>
      </c>
      <c r="E741" t="s">
        <v>47</v>
      </c>
      <c r="F741">
        <v>56099.3</v>
      </c>
    </row>
    <row r="742" spans="1:6" x14ac:dyDescent="0.3">
      <c r="A742">
        <v>2023</v>
      </c>
      <c r="B742">
        <v>10</v>
      </c>
      <c r="C742" t="s">
        <v>45</v>
      </c>
      <c r="D742" t="s">
        <v>38</v>
      </c>
      <c r="E742" t="s">
        <v>47</v>
      </c>
      <c r="F742">
        <v>131427.07999999999</v>
      </c>
    </row>
    <row r="743" spans="1:6" x14ac:dyDescent="0.3">
      <c r="A743">
        <v>2023</v>
      </c>
      <c r="B743">
        <v>10</v>
      </c>
      <c r="C743" t="s">
        <v>37</v>
      </c>
      <c r="D743" t="s">
        <v>48</v>
      </c>
      <c r="E743" t="s">
        <v>49</v>
      </c>
      <c r="F743">
        <v>88686.04</v>
      </c>
    </row>
    <row r="744" spans="1:6" x14ac:dyDescent="0.3">
      <c r="A744">
        <v>2023</v>
      </c>
      <c r="B744">
        <v>10</v>
      </c>
      <c r="C744" t="s">
        <v>40</v>
      </c>
      <c r="D744" t="s">
        <v>48</v>
      </c>
      <c r="E744" t="s">
        <v>49</v>
      </c>
      <c r="F744">
        <v>113215.86</v>
      </c>
    </row>
    <row r="745" spans="1:6" x14ac:dyDescent="0.3">
      <c r="A745">
        <v>2023</v>
      </c>
      <c r="B745">
        <v>10</v>
      </c>
      <c r="C745" t="s">
        <v>41</v>
      </c>
      <c r="D745" t="s">
        <v>48</v>
      </c>
      <c r="E745" t="s">
        <v>49</v>
      </c>
      <c r="F745">
        <v>28874.73</v>
      </c>
    </row>
    <row r="746" spans="1:6" x14ac:dyDescent="0.3">
      <c r="A746">
        <v>2023</v>
      </c>
      <c r="B746">
        <v>10</v>
      </c>
      <c r="C746" t="s">
        <v>42</v>
      </c>
      <c r="D746" t="s">
        <v>48</v>
      </c>
      <c r="E746" t="s">
        <v>49</v>
      </c>
      <c r="F746">
        <v>46076.76</v>
      </c>
    </row>
    <row r="747" spans="1:6" x14ac:dyDescent="0.3">
      <c r="A747">
        <v>2023</v>
      </c>
      <c r="B747">
        <v>10</v>
      </c>
      <c r="C747" t="s">
        <v>43</v>
      </c>
      <c r="D747" t="s">
        <v>48</v>
      </c>
      <c r="E747" t="s">
        <v>49</v>
      </c>
      <c r="F747">
        <v>98663.58</v>
      </c>
    </row>
    <row r="748" spans="1:6" x14ac:dyDescent="0.3">
      <c r="A748">
        <v>2023</v>
      </c>
      <c r="B748">
        <v>10</v>
      </c>
      <c r="C748" t="s">
        <v>44</v>
      </c>
      <c r="D748" t="s">
        <v>48</v>
      </c>
      <c r="E748" t="s">
        <v>49</v>
      </c>
      <c r="F748">
        <v>85758.74</v>
      </c>
    </row>
    <row r="749" spans="1:6" x14ac:dyDescent="0.3">
      <c r="A749">
        <v>2023</v>
      </c>
      <c r="B749">
        <v>10</v>
      </c>
      <c r="C749" t="s">
        <v>45</v>
      </c>
      <c r="D749" t="s">
        <v>48</v>
      </c>
      <c r="E749" t="s">
        <v>49</v>
      </c>
      <c r="F749">
        <v>66133.679999999993</v>
      </c>
    </row>
    <row r="750" spans="1:6" x14ac:dyDescent="0.3">
      <c r="A750">
        <v>2023</v>
      </c>
      <c r="B750">
        <v>10</v>
      </c>
      <c r="C750" t="s">
        <v>37</v>
      </c>
      <c r="D750" t="s">
        <v>48</v>
      </c>
      <c r="E750" t="s">
        <v>50</v>
      </c>
      <c r="F750">
        <v>116205.6</v>
      </c>
    </row>
    <row r="751" spans="1:6" x14ac:dyDescent="0.3">
      <c r="A751">
        <v>2023</v>
      </c>
      <c r="B751">
        <v>10</v>
      </c>
      <c r="C751" t="s">
        <v>40</v>
      </c>
      <c r="D751" t="s">
        <v>48</v>
      </c>
      <c r="E751" t="s">
        <v>50</v>
      </c>
      <c r="F751">
        <v>16367.55</v>
      </c>
    </row>
    <row r="752" spans="1:6" x14ac:dyDescent="0.3">
      <c r="A752">
        <v>2023</v>
      </c>
      <c r="B752">
        <v>10</v>
      </c>
      <c r="C752" t="s">
        <v>41</v>
      </c>
      <c r="D752" t="s">
        <v>48</v>
      </c>
      <c r="E752" t="s">
        <v>50</v>
      </c>
      <c r="F752">
        <v>102871.13</v>
      </c>
    </row>
    <row r="753" spans="1:6" x14ac:dyDescent="0.3">
      <c r="A753">
        <v>2023</v>
      </c>
      <c r="B753">
        <v>10</v>
      </c>
      <c r="C753" t="s">
        <v>42</v>
      </c>
      <c r="D753" t="s">
        <v>48</v>
      </c>
      <c r="E753" t="s">
        <v>50</v>
      </c>
      <c r="F753">
        <v>60197.21</v>
      </c>
    </row>
    <row r="754" spans="1:6" x14ac:dyDescent="0.3">
      <c r="A754">
        <v>2023</v>
      </c>
      <c r="B754">
        <v>10</v>
      </c>
      <c r="C754" t="s">
        <v>43</v>
      </c>
      <c r="D754" t="s">
        <v>48</v>
      </c>
      <c r="E754" t="s">
        <v>50</v>
      </c>
      <c r="F754">
        <v>36629.19</v>
      </c>
    </row>
    <row r="755" spans="1:6" x14ac:dyDescent="0.3">
      <c r="A755">
        <v>2023</v>
      </c>
      <c r="B755">
        <v>10</v>
      </c>
      <c r="C755" t="s">
        <v>44</v>
      </c>
      <c r="D755" t="s">
        <v>48</v>
      </c>
      <c r="E755" t="s">
        <v>50</v>
      </c>
      <c r="F755">
        <v>133959.79</v>
      </c>
    </row>
    <row r="756" spans="1:6" x14ac:dyDescent="0.3">
      <c r="A756">
        <v>2023</v>
      </c>
      <c r="B756">
        <v>10</v>
      </c>
      <c r="C756" t="s">
        <v>45</v>
      </c>
      <c r="D756" t="s">
        <v>48</v>
      </c>
      <c r="E756" t="s">
        <v>50</v>
      </c>
      <c r="F756">
        <v>35583.120000000003</v>
      </c>
    </row>
    <row r="757" spans="1:6" x14ac:dyDescent="0.3">
      <c r="A757">
        <v>2023</v>
      </c>
      <c r="B757">
        <v>10</v>
      </c>
      <c r="C757" t="s">
        <v>37</v>
      </c>
      <c r="D757" t="s">
        <v>48</v>
      </c>
      <c r="E757" t="s">
        <v>51</v>
      </c>
      <c r="F757">
        <v>65687.12</v>
      </c>
    </row>
    <row r="758" spans="1:6" x14ac:dyDescent="0.3">
      <c r="A758">
        <v>2023</v>
      </c>
      <c r="B758">
        <v>10</v>
      </c>
      <c r="C758" t="s">
        <v>40</v>
      </c>
      <c r="D758" t="s">
        <v>48</v>
      </c>
      <c r="E758" t="s">
        <v>51</v>
      </c>
      <c r="F758">
        <v>54672.53</v>
      </c>
    </row>
    <row r="759" spans="1:6" x14ac:dyDescent="0.3">
      <c r="A759">
        <v>2023</v>
      </c>
      <c r="B759">
        <v>10</v>
      </c>
      <c r="C759" t="s">
        <v>41</v>
      </c>
      <c r="D759" t="s">
        <v>48</v>
      </c>
      <c r="E759" t="s">
        <v>51</v>
      </c>
      <c r="F759">
        <v>42272.89</v>
      </c>
    </row>
    <row r="760" spans="1:6" x14ac:dyDescent="0.3">
      <c r="A760">
        <v>2023</v>
      </c>
      <c r="B760">
        <v>10</v>
      </c>
      <c r="C760" t="s">
        <v>42</v>
      </c>
      <c r="D760" t="s">
        <v>48</v>
      </c>
      <c r="E760" t="s">
        <v>51</v>
      </c>
      <c r="F760">
        <v>58678.720000000001</v>
      </c>
    </row>
    <row r="761" spans="1:6" x14ac:dyDescent="0.3">
      <c r="A761">
        <v>2023</v>
      </c>
      <c r="B761">
        <v>10</v>
      </c>
      <c r="C761" t="s">
        <v>43</v>
      </c>
      <c r="D761" t="s">
        <v>48</v>
      </c>
      <c r="E761" t="s">
        <v>51</v>
      </c>
      <c r="F761">
        <v>14873.76</v>
      </c>
    </row>
    <row r="762" spans="1:6" x14ac:dyDescent="0.3">
      <c r="A762">
        <v>2023</v>
      </c>
      <c r="B762">
        <v>10</v>
      </c>
      <c r="C762" t="s">
        <v>44</v>
      </c>
      <c r="D762" t="s">
        <v>48</v>
      </c>
      <c r="E762" t="s">
        <v>51</v>
      </c>
      <c r="F762">
        <v>89097.65</v>
      </c>
    </row>
    <row r="763" spans="1:6" x14ac:dyDescent="0.3">
      <c r="A763">
        <v>2023</v>
      </c>
      <c r="B763">
        <v>10</v>
      </c>
      <c r="C763" t="s">
        <v>45</v>
      </c>
      <c r="D763" t="s">
        <v>48</v>
      </c>
      <c r="E763" t="s">
        <v>51</v>
      </c>
      <c r="F763">
        <v>41776.129999999997</v>
      </c>
    </row>
    <row r="764" spans="1:6" x14ac:dyDescent="0.3">
      <c r="A764">
        <v>2023</v>
      </c>
      <c r="B764">
        <v>10</v>
      </c>
      <c r="C764" t="s">
        <v>37</v>
      </c>
      <c r="D764" t="s">
        <v>48</v>
      </c>
      <c r="E764" t="s">
        <v>52</v>
      </c>
      <c r="F764">
        <v>15219.23</v>
      </c>
    </row>
    <row r="765" spans="1:6" x14ac:dyDescent="0.3">
      <c r="A765">
        <v>2023</v>
      </c>
      <c r="B765">
        <v>10</v>
      </c>
      <c r="C765" t="s">
        <v>40</v>
      </c>
      <c r="D765" t="s">
        <v>48</v>
      </c>
      <c r="E765" t="s">
        <v>52</v>
      </c>
      <c r="F765">
        <v>27601.3</v>
      </c>
    </row>
    <row r="766" spans="1:6" x14ac:dyDescent="0.3">
      <c r="A766">
        <v>2023</v>
      </c>
      <c r="B766">
        <v>10</v>
      </c>
      <c r="C766" t="s">
        <v>41</v>
      </c>
      <c r="D766" t="s">
        <v>48</v>
      </c>
      <c r="E766" t="s">
        <v>52</v>
      </c>
      <c r="F766">
        <v>67627.100000000006</v>
      </c>
    </row>
    <row r="767" spans="1:6" x14ac:dyDescent="0.3">
      <c r="A767">
        <v>2023</v>
      </c>
      <c r="B767">
        <v>10</v>
      </c>
      <c r="C767" t="s">
        <v>42</v>
      </c>
      <c r="D767" t="s">
        <v>48</v>
      </c>
      <c r="E767" t="s">
        <v>52</v>
      </c>
      <c r="F767">
        <v>73287.360000000001</v>
      </c>
    </row>
    <row r="768" spans="1:6" x14ac:dyDescent="0.3">
      <c r="A768">
        <v>2023</v>
      </c>
      <c r="B768">
        <v>10</v>
      </c>
      <c r="C768" t="s">
        <v>43</v>
      </c>
      <c r="D768" t="s">
        <v>48</v>
      </c>
      <c r="E768" t="s">
        <v>52</v>
      </c>
      <c r="F768">
        <v>25576.5</v>
      </c>
    </row>
    <row r="769" spans="1:6" x14ac:dyDescent="0.3">
      <c r="A769">
        <v>2023</v>
      </c>
      <c r="B769">
        <v>10</v>
      </c>
      <c r="C769" t="s">
        <v>44</v>
      </c>
      <c r="D769" t="s">
        <v>48</v>
      </c>
      <c r="E769" t="s">
        <v>52</v>
      </c>
      <c r="F769">
        <v>61795.44</v>
      </c>
    </row>
    <row r="770" spans="1:6" x14ac:dyDescent="0.3">
      <c r="A770">
        <v>2023</v>
      </c>
      <c r="B770">
        <v>10</v>
      </c>
      <c r="C770" t="s">
        <v>45</v>
      </c>
      <c r="D770" t="s">
        <v>48</v>
      </c>
      <c r="E770" t="s">
        <v>52</v>
      </c>
      <c r="F770">
        <v>13075.65</v>
      </c>
    </row>
    <row r="771" spans="1:6" x14ac:dyDescent="0.3">
      <c r="A771">
        <v>2023</v>
      </c>
      <c r="B771">
        <v>10</v>
      </c>
      <c r="C771" t="s">
        <v>37</v>
      </c>
      <c r="D771" t="s">
        <v>48</v>
      </c>
      <c r="E771" t="s">
        <v>53</v>
      </c>
      <c r="F771">
        <v>23085.66</v>
      </c>
    </row>
    <row r="772" spans="1:6" x14ac:dyDescent="0.3">
      <c r="A772">
        <v>2023</v>
      </c>
      <c r="B772">
        <v>10</v>
      </c>
      <c r="C772" t="s">
        <v>40</v>
      </c>
      <c r="D772" t="s">
        <v>48</v>
      </c>
      <c r="E772" t="s">
        <v>53</v>
      </c>
      <c r="F772">
        <v>54074.51</v>
      </c>
    </row>
    <row r="773" spans="1:6" x14ac:dyDescent="0.3">
      <c r="A773">
        <v>2023</v>
      </c>
      <c r="B773">
        <v>10</v>
      </c>
      <c r="C773" t="s">
        <v>41</v>
      </c>
      <c r="D773" t="s">
        <v>48</v>
      </c>
      <c r="E773" t="s">
        <v>53</v>
      </c>
      <c r="F773">
        <v>90553.42</v>
      </c>
    </row>
    <row r="774" spans="1:6" x14ac:dyDescent="0.3">
      <c r="A774">
        <v>2023</v>
      </c>
      <c r="B774">
        <v>10</v>
      </c>
      <c r="C774" t="s">
        <v>42</v>
      </c>
      <c r="D774" t="s">
        <v>48</v>
      </c>
      <c r="E774" t="s">
        <v>53</v>
      </c>
      <c r="F774">
        <v>39837.51</v>
      </c>
    </row>
    <row r="775" spans="1:6" x14ac:dyDescent="0.3">
      <c r="A775">
        <v>2023</v>
      </c>
      <c r="B775">
        <v>10</v>
      </c>
      <c r="C775" t="s">
        <v>43</v>
      </c>
      <c r="D775" t="s">
        <v>48</v>
      </c>
      <c r="E775" t="s">
        <v>53</v>
      </c>
      <c r="F775">
        <v>126907.77</v>
      </c>
    </row>
    <row r="776" spans="1:6" x14ac:dyDescent="0.3">
      <c r="A776">
        <v>2023</v>
      </c>
      <c r="B776">
        <v>10</v>
      </c>
      <c r="C776" t="s">
        <v>44</v>
      </c>
      <c r="D776" t="s">
        <v>48</v>
      </c>
      <c r="E776" t="s">
        <v>53</v>
      </c>
      <c r="F776">
        <v>11222.59</v>
      </c>
    </row>
    <row r="777" spans="1:6" x14ac:dyDescent="0.3">
      <c r="A777">
        <v>2023</v>
      </c>
      <c r="B777">
        <v>10</v>
      </c>
      <c r="C777" t="s">
        <v>45</v>
      </c>
      <c r="D777" t="s">
        <v>48</v>
      </c>
      <c r="E777" t="s">
        <v>53</v>
      </c>
      <c r="F777">
        <v>80176.38</v>
      </c>
    </row>
    <row r="778" spans="1:6" x14ac:dyDescent="0.3">
      <c r="A778">
        <v>2023</v>
      </c>
      <c r="B778">
        <v>10</v>
      </c>
      <c r="C778" t="s">
        <v>37</v>
      </c>
      <c r="D778" t="s">
        <v>48</v>
      </c>
      <c r="E778" t="s">
        <v>54</v>
      </c>
      <c r="F778">
        <v>34393.08</v>
      </c>
    </row>
    <row r="779" spans="1:6" x14ac:dyDescent="0.3">
      <c r="A779">
        <v>2023</v>
      </c>
      <c r="B779">
        <v>10</v>
      </c>
      <c r="C779" t="s">
        <v>40</v>
      </c>
      <c r="D779" t="s">
        <v>48</v>
      </c>
      <c r="E779" t="s">
        <v>54</v>
      </c>
      <c r="F779">
        <v>126563.44</v>
      </c>
    </row>
    <row r="780" spans="1:6" x14ac:dyDescent="0.3">
      <c r="A780">
        <v>2023</v>
      </c>
      <c r="B780">
        <v>10</v>
      </c>
      <c r="C780" t="s">
        <v>41</v>
      </c>
      <c r="D780" t="s">
        <v>48</v>
      </c>
      <c r="E780" t="s">
        <v>54</v>
      </c>
      <c r="F780">
        <v>75324</v>
      </c>
    </row>
    <row r="781" spans="1:6" x14ac:dyDescent="0.3">
      <c r="A781">
        <v>2023</v>
      </c>
      <c r="B781">
        <v>10</v>
      </c>
      <c r="C781" t="s">
        <v>42</v>
      </c>
      <c r="D781" t="s">
        <v>48</v>
      </c>
      <c r="E781" t="s">
        <v>54</v>
      </c>
      <c r="F781">
        <v>81792.13</v>
      </c>
    </row>
    <row r="782" spans="1:6" x14ac:dyDescent="0.3">
      <c r="A782">
        <v>2023</v>
      </c>
      <c r="B782">
        <v>10</v>
      </c>
      <c r="C782" t="s">
        <v>43</v>
      </c>
      <c r="D782" t="s">
        <v>48</v>
      </c>
      <c r="E782" t="s">
        <v>54</v>
      </c>
      <c r="F782">
        <v>80838.64</v>
      </c>
    </row>
    <row r="783" spans="1:6" x14ac:dyDescent="0.3">
      <c r="A783">
        <v>2023</v>
      </c>
      <c r="B783">
        <v>10</v>
      </c>
      <c r="C783" t="s">
        <v>44</v>
      </c>
      <c r="D783" t="s">
        <v>48</v>
      </c>
      <c r="E783" t="s">
        <v>54</v>
      </c>
      <c r="F783">
        <v>79265.72</v>
      </c>
    </row>
    <row r="784" spans="1:6" x14ac:dyDescent="0.3">
      <c r="A784">
        <v>2023</v>
      </c>
      <c r="B784">
        <v>10</v>
      </c>
      <c r="C784" t="s">
        <v>45</v>
      </c>
      <c r="D784" t="s">
        <v>48</v>
      </c>
      <c r="E784" t="s">
        <v>54</v>
      </c>
      <c r="F784">
        <v>115807.64</v>
      </c>
    </row>
    <row r="785" spans="1:6" x14ac:dyDescent="0.3">
      <c r="A785">
        <v>2023</v>
      </c>
      <c r="B785">
        <v>10</v>
      </c>
      <c r="C785" t="s">
        <v>37</v>
      </c>
      <c r="D785" t="s">
        <v>48</v>
      </c>
      <c r="E785" t="s">
        <v>55</v>
      </c>
      <c r="F785">
        <v>100816.78</v>
      </c>
    </row>
    <row r="786" spans="1:6" x14ac:dyDescent="0.3">
      <c r="A786">
        <v>2023</v>
      </c>
      <c r="B786">
        <v>10</v>
      </c>
      <c r="C786" t="s">
        <v>40</v>
      </c>
      <c r="D786" t="s">
        <v>48</v>
      </c>
      <c r="E786" t="s">
        <v>55</v>
      </c>
      <c r="F786">
        <v>15699.88</v>
      </c>
    </row>
    <row r="787" spans="1:6" x14ac:dyDescent="0.3">
      <c r="A787">
        <v>2023</v>
      </c>
      <c r="B787">
        <v>10</v>
      </c>
      <c r="C787" t="s">
        <v>41</v>
      </c>
      <c r="D787" t="s">
        <v>48</v>
      </c>
      <c r="E787" t="s">
        <v>55</v>
      </c>
      <c r="F787">
        <v>57642.559999999998</v>
      </c>
    </row>
    <row r="788" spans="1:6" x14ac:dyDescent="0.3">
      <c r="A788">
        <v>2023</v>
      </c>
      <c r="B788">
        <v>10</v>
      </c>
      <c r="C788" t="s">
        <v>42</v>
      </c>
      <c r="D788" t="s">
        <v>48</v>
      </c>
      <c r="E788" t="s">
        <v>55</v>
      </c>
      <c r="F788">
        <v>46037.97</v>
      </c>
    </row>
    <row r="789" spans="1:6" x14ac:dyDescent="0.3">
      <c r="A789">
        <v>2023</v>
      </c>
      <c r="B789">
        <v>10</v>
      </c>
      <c r="C789" t="s">
        <v>43</v>
      </c>
      <c r="D789" t="s">
        <v>48</v>
      </c>
      <c r="E789" t="s">
        <v>55</v>
      </c>
      <c r="F789">
        <v>60337.08</v>
      </c>
    </row>
    <row r="790" spans="1:6" x14ac:dyDescent="0.3">
      <c r="A790">
        <v>2023</v>
      </c>
      <c r="B790">
        <v>10</v>
      </c>
      <c r="C790" t="s">
        <v>44</v>
      </c>
      <c r="D790" t="s">
        <v>48</v>
      </c>
      <c r="E790" t="s">
        <v>55</v>
      </c>
      <c r="F790">
        <v>62144.86</v>
      </c>
    </row>
    <row r="791" spans="1:6" x14ac:dyDescent="0.3">
      <c r="A791">
        <v>2023</v>
      </c>
      <c r="B791">
        <v>10</v>
      </c>
      <c r="C791" t="s">
        <v>45</v>
      </c>
      <c r="D791" t="s">
        <v>48</v>
      </c>
      <c r="E791" t="s">
        <v>55</v>
      </c>
      <c r="F791">
        <v>91220.4</v>
      </c>
    </row>
    <row r="792" spans="1:6" x14ac:dyDescent="0.3">
      <c r="A792">
        <v>2023</v>
      </c>
      <c r="B792">
        <v>10</v>
      </c>
      <c r="C792" t="s">
        <v>37</v>
      </c>
      <c r="D792" t="s">
        <v>48</v>
      </c>
      <c r="E792" t="s">
        <v>56</v>
      </c>
      <c r="F792">
        <v>88195.62</v>
      </c>
    </row>
    <row r="793" spans="1:6" x14ac:dyDescent="0.3">
      <c r="A793">
        <v>2023</v>
      </c>
      <c r="B793">
        <v>10</v>
      </c>
      <c r="C793" t="s">
        <v>40</v>
      </c>
      <c r="D793" t="s">
        <v>48</v>
      </c>
      <c r="E793" t="s">
        <v>56</v>
      </c>
      <c r="F793">
        <v>69346.3</v>
      </c>
    </row>
    <row r="794" spans="1:6" x14ac:dyDescent="0.3">
      <c r="A794">
        <v>2023</v>
      </c>
      <c r="B794">
        <v>10</v>
      </c>
      <c r="C794" t="s">
        <v>41</v>
      </c>
      <c r="D794" t="s">
        <v>48</v>
      </c>
      <c r="E794" t="s">
        <v>56</v>
      </c>
      <c r="F794">
        <v>126685.37</v>
      </c>
    </row>
    <row r="795" spans="1:6" x14ac:dyDescent="0.3">
      <c r="A795">
        <v>2023</v>
      </c>
      <c r="B795">
        <v>10</v>
      </c>
      <c r="C795" t="s">
        <v>42</v>
      </c>
      <c r="D795" t="s">
        <v>48</v>
      </c>
      <c r="E795" t="s">
        <v>56</v>
      </c>
      <c r="F795">
        <v>106562.67</v>
      </c>
    </row>
    <row r="796" spans="1:6" x14ac:dyDescent="0.3">
      <c r="A796">
        <v>2023</v>
      </c>
      <c r="B796">
        <v>10</v>
      </c>
      <c r="C796" t="s">
        <v>43</v>
      </c>
      <c r="D796" t="s">
        <v>48</v>
      </c>
      <c r="E796" t="s">
        <v>56</v>
      </c>
      <c r="F796">
        <v>28305.88</v>
      </c>
    </row>
    <row r="797" spans="1:6" x14ac:dyDescent="0.3">
      <c r="A797">
        <v>2023</v>
      </c>
      <c r="B797">
        <v>10</v>
      </c>
      <c r="C797" t="s">
        <v>44</v>
      </c>
      <c r="D797" t="s">
        <v>48</v>
      </c>
      <c r="E797" t="s">
        <v>56</v>
      </c>
      <c r="F797">
        <v>86303.73</v>
      </c>
    </row>
    <row r="798" spans="1:6" x14ac:dyDescent="0.3">
      <c r="A798">
        <v>2023</v>
      </c>
      <c r="B798">
        <v>10</v>
      </c>
      <c r="C798" t="s">
        <v>45</v>
      </c>
      <c r="D798" t="s">
        <v>48</v>
      </c>
      <c r="E798" t="s">
        <v>56</v>
      </c>
      <c r="F798">
        <v>16228.1</v>
      </c>
    </row>
    <row r="799" spans="1:6" x14ac:dyDescent="0.3">
      <c r="A799">
        <v>2023</v>
      </c>
      <c r="B799">
        <v>10</v>
      </c>
      <c r="C799" t="s">
        <v>37</v>
      </c>
      <c r="D799" t="s">
        <v>57</v>
      </c>
      <c r="E799" t="s">
        <v>58</v>
      </c>
      <c r="F799">
        <v>11825.15</v>
      </c>
    </row>
    <row r="800" spans="1:6" x14ac:dyDescent="0.3">
      <c r="A800">
        <v>2023</v>
      </c>
      <c r="B800">
        <v>10</v>
      </c>
      <c r="C800" t="s">
        <v>37</v>
      </c>
      <c r="D800" t="s">
        <v>57</v>
      </c>
      <c r="E800" t="s">
        <v>59</v>
      </c>
      <c r="F800">
        <v>155278.87</v>
      </c>
    </row>
    <row r="801" spans="1:6" x14ac:dyDescent="0.3">
      <c r="A801">
        <v>2023</v>
      </c>
      <c r="B801">
        <v>10</v>
      </c>
      <c r="C801" t="s">
        <v>37</v>
      </c>
      <c r="D801" t="s">
        <v>57</v>
      </c>
      <c r="E801" t="s">
        <v>60</v>
      </c>
      <c r="F801">
        <v>132263.9</v>
      </c>
    </row>
    <row r="802" spans="1:6" x14ac:dyDescent="0.3">
      <c r="A802">
        <v>2023</v>
      </c>
      <c r="B802">
        <v>11</v>
      </c>
      <c r="C802" t="s">
        <v>37</v>
      </c>
      <c r="D802" t="s">
        <v>38</v>
      </c>
      <c r="E802" t="s">
        <v>39</v>
      </c>
      <c r="F802">
        <v>104115.29</v>
      </c>
    </row>
    <row r="803" spans="1:6" x14ac:dyDescent="0.3">
      <c r="A803">
        <v>2023</v>
      </c>
      <c r="B803">
        <v>11</v>
      </c>
      <c r="C803" t="s">
        <v>40</v>
      </c>
      <c r="D803" t="s">
        <v>38</v>
      </c>
      <c r="E803" t="s">
        <v>39</v>
      </c>
      <c r="F803">
        <v>16059.88</v>
      </c>
    </row>
    <row r="804" spans="1:6" x14ac:dyDescent="0.3">
      <c r="A804">
        <v>2023</v>
      </c>
      <c r="B804">
        <v>11</v>
      </c>
      <c r="C804" t="s">
        <v>41</v>
      </c>
      <c r="D804" t="s">
        <v>38</v>
      </c>
      <c r="E804" t="s">
        <v>39</v>
      </c>
      <c r="F804">
        <v>83444.56</v>
      </c>
    </row>
    <row r="805" spans="1:6" x14ac:dyDescent="0.3">
      <c r="A805">
        <v>2023</v>
      </c>
      <c r="B805">
        <v>11</v>
      </c>
      <c r="C805" t="s">
        <v>42</v>
      </c>
      <c r="D805" t="s">
        <v>38</v>
      </c>
      <c r="E805" t="s">
        <v>39</v>
      </c>
      <c r="F805">
        <v>101878.6</v>
      </c>
    </row>
    <row r="806" spans="1:6" x14ac:dyDescent="0.3">
      <c r="A806">
        <v>2023</v>
      </c>
      <c r="B806">
        <v>11</v>
      </c>
      <c r="C806" t="s">
        <v>43</v>
      </c>
      <c r="D806" t="s">
        <v>38</v>
      </c>
      <c r="E806" t="s">
        <v>39</v>
      </c>
      <c r="F806">
        <v>82868.78</v>
      </c>
    </row>
    <row r="807" spans="1:6" x14ac:dyDescent="0.3">
      <c r="A807">
        <v>2023</v>
      </c>
      <c r="B807">
        <v>11</v>
      </c>
      <c r="C807" t="s">
        <v>44</v>
      </c>
      <c r="D807" t="s">
        <v>38</v>
      </c>
      <c r="E807" t="s">
        <v>39</v>
      </c>
      <c r="F807">
        <v>19888.240000000002</v>
      </c>
    </row>
    <row r="808" spans="1:6" x14ac:dyDescent="0.3">
      <c r="A808">
        <v>2023</v>
      </c>
      <c r="B808">
        <v>11</v>
      </c>
      <c r="C808" t="s">
        <v>45</v>
      </c>
      <c r="D808" t="s">
        <v>38</v>
      </c>
      <c r="E808" t="s">
        <v>39</v>
      </c>
      <c r="F808">
        <v>114508.68</v>
      </c>
    </row>
    <row r="809" spans="1:6" x14ac:dyDescent="0.3">
      <c r="A809">
        <v>2023</v>
      </c>
      <c r="B809">
        <v>11</v>
      </c>
      <c r="C809" t="s">
        <v>37</v>
      </c>
      <c r="D809" t="s">
        <v>38</v>
      </c>
      <c r="E809" t="s">
        <v>46</v>
      </c>
      <c r="F809">
        <v>98044.37</v>
      </c>
    </row>
    <row r="810" spans="1:6" x14ac:dyDescent="0.3">
      <c r="A810">
        <v>2023</v>
      </c>
      <c r="B810">
        <v>11</v>
      </c>
      <c r="C810" t="s">
        <v>40</v>
      </c>
      <c r="D810" t="s">
        <v>38</v>
      </c>
      <c r="E810" t="s">
        <v>46</v>
      </c>
      <c r="F810">
        <v>125594.06</v>
      </c>
    </row>
    <row r="811" spans="1:6" x14ac:dyDescent="0.3">
      <c r="A811">
        <v>2023</v>
      </c>
      <c r="B811">
        <v>11</v>
      </c>
      <c r="C811" t="s">
        <v>41</v>
      </c>
      <c r="D811" t="s">
        <v>38</v>
      </c>
      <c r="E811" t="s">
        <v>46</v>
      </c>
      <c r="F811">
        <v>31539.16</v>
      </c>
    </row>
    <row r="812" spans="1:6" x14ac:dyDescent="0.3">
      <c r="A812">
        <v>2023</v>
      </c>
      <c r="B812">
        <v>11</v>
      </c>
      <c r="C812" t="s">
        <v>42</v>
      </c>
      <c r="D812" t="s">
        <v>38</v>
      </c>
      <c r="E812" t="s">
        <v>46</v>
      </c>
      <c r="F812">
        <v>45230.78</v>
      </c>
    </row>
    <row r="813" spans="1:6" x14ac:dyDescent="0.3">
      <c r="A813">
        <v>2023</v>
      </c>
      <c r="B813">
        <v>11</v>
      </c>
      <c r="C813" t="s">
        <v>43</v>
      </c>
      <c r="D813" t="s">
        <v>38</v>
      </c>
      <c r="E813" t="s">
        <v>46</v>
      </c>
      <c r="F813">
        <v>18339.16</v>
      </c>
    </row>
    <row r="814" spans="1:6" x14ac:dyDescent="0.3">
      <c r="A814">
        <v>2023</v>
      </c>
      <c r="B814">
        <v>11</v>
      </c>
      <c r="C814" t="s">
        <v>44</v>
      </c>
      <c r="D814" t="s">
        <v>38</v>
      </c>
      <c r="E814" t="s">
        <v>46</v>
      </c>
      <c r="F814">
        <v>59276.38</v>
      </c>
    </row>
    <row r="815" spans="1:6" x14ac:dyDescent="0.3">
      <c r="A815">
        <v>2023</v>
      </c>
      <c r="B815">
        <v>11</v>
      </c>
      <c r="C815" t="s">
        <v>45</v>
      </c>
      <c r="D815" t="s">
        <v>38</v>
      </c>
      <c r="E815" t="s">
        <v>46</v>
      </c>
      <c r="F815">
        <v>116350.01</v>
      </c>
    </row>
    <row r="816" spans="1:6" x14ac:dyDescent="0.3">
      <c r="A816">
        <v>2023</v>
      </c>
      <c r="B816">
        <v>11</v>
      </c>
      <c r="C816" t="s">
        <v>37</v>
      </c>
      <c r="D816" t="s">
        <v>38</v>
      </c>
      <c r="E816" t="s">
        <v>47</v>
      </c>
      <c r="F816">
        <v>61799.7</v>
      </c>
    </row>
    <row r="817" spans="1:6" x14ac:dyDescent="0.3">
      <c r="A817">
        <v>2023</v>
      </c>
      <c r="B817">
        <v>11</v>
      </c>
      <c r="C817" t="s">
        <v>40</v>
      </c>
      <c r="D817" t="s">
        <v>38</v>
      </c>
      <c r="E817" t="s">
        <v>47</v>
      </c>
      <c r="F817">
        <v>75503.73</v>
      </c>
    </row>
    <row r="818" spans="1:6" x14ac:dyDescent="0.3">
      <c r="A818">
        <v>2023</v>
      </c>
      <c r="B818">
        <v>11</v>
      </c>
      <c r="C818" t="s">
        <v>41</v>
      </c>
      <c r="D818" t="s">
        <v>38</v>
      </c>
      <c r="E818" t="s">
        <v>47</v>
      </c>
      <c r="F818">
        <v>39002.76</v>
      </c>
    </row>
    <row r="819" spans="1:6" x14ac:dyDescent="0.3">
      <c r="A819">
        <v>2023</v>
      </c>
      <c r="B819">
        <v>11</v>
      </c>
      <c r="C819" t="s">
        <v>42</v>
      </c>
      <c r="D819" t="s">
        <v>38</v>
      </c>
      <c r="E819" t="s">
        <v>47</v>
      </c>
      <c r="F819">
        <v>65863.179999999993</v>
      </c>
    </row>
    <row r="820" spans="1:6" x14ac:dyDescent="0.3">
      <c r="A820">
        <v>2023</v>
      </c>
      <c r="B820">
        <v>11</v>
      </c>
      <c r="C820" t="s">
        <v>43</v>
      </c>
      <c r="D820" t="s">
        <v>38</v>
      </c>
      <c r="E820" t="s">
        <v>47</v>
      </c>
      <c r="F820">
        <v>16079.07</v>
      </c>
    </row>
    <row r="821" spans="1:6" x14ac:dyDescent="0.3">
      <c r="A821">
        <v>2023</v>
      </c>
      <c r="B821">
        <v>11</v>
      </c>
      <c r="C821" t="s">
        <v>44</v>
      </c>
      <c r="D821" t="s">
        <v>38</v>
      </c>
      <c r="E821" t="s">
        <v>47</v>
      </c>
      <c r="F821">
        <v>84111.61</v>
      </c>
    </row>
    <row r="822" spans="1:6" x14ac:dyDescent="0.3">
      <c r="A822">
        <v>2023</v>
      </c>
      <c r="B822">
        <v>11</v>
      </c>
      <c r="C822" t="s">
        <v>45</v>
      </c>
      <c r="D822" t="s">
        <v>38</v>
      </c>
      <c r="E822" t="s">
        <v>47</v>
      </c>
      <c r="F822">
        <v>21768.55</v>
      </c>
    </row>
    <row r="823" spans="1:6" x14ac:dyDescent="0.3">
      <c r="A823">
        <v>2023</v>
      </c>
      <c r="B823">
        <v>11</v>
      </c>
      <c r="C823" t="s">
        <v>37</v>
      </c>
      <c r="D823" t="s">
        <v>48</v>
      </c>
      <c r="E823" t="s">
        <v>49</v>
      </c>
      <c r="F823">
        <v>118594.01</v>
      </c>
    </row>
    <row r="824" spans="1:6" x14ac:dyDescent="0.3">
      <c r="A824">
        <v>2023</v>
      </c>
      <c r="B824">
        <v>11</v>
      </c>
      <c r="C824" t="s">
        <v>40</v>
      </c>
      <c r="D824" t="s">
        <v>48</v>
      </c>
      <c r="E824" t="s">
        <v>49</v>
      </c>
      <c r="F824">
        <v>108371.01</v>
      </c>
    </row>
    <row r="825" spans="1:6" x14ac:dyDescent="0.3">
      <c r="A825">
        <v>2023</v>
      </c>
      <c r="B825">
        <v>11</v>
      </c>
      <c r="C825" t="s">
        <v>41</v>
      </c>
      <c r="D825" t="s">
        <v>48</v>
      </c>
      <c r="E825" t="s">
        <v>49</v>
      </c>
      <c r="F825">
        <v>96548.98</v>
      </c>
    </row>
    <row r="826" spans="1:6" x14ac:dyDescent="0.3">
      <c r="A826">
        <v>2023</v>
      </c>
      <c r="B826">
        <v>11</v>
      </c>
      <c r="C826" t="s">
        <v>42</v>
      </c>
      <c r="D826" t="s">
        <v>48</v>
      </c>
      <c r="E826" t="s">
        <v>49</v>
      </c>
      <c r="F826">
        <v>71101.919999999998</v>
      </c>
    </row>
    <row r="827" spans="1:6" x14ac:dyDescent="0.3">
      <c r="A827">
        <v>2023</v>
      </c>
      <c r="B827">
        <v>11</v>
      </c>
      <c r="C827" t="s">
        <v>43</v>
      </c>
      <c r="D827" t="s">
        <v>48</v>
      </c>
      <c r="E827" t="s">
        <v>49</v>
      </c>
      <c r="F827">
        <v>76020.56</v>
      </c>
    </row>
    <row r="828" spans="1:6" x14ac:dyDescent="0.3">
      <c r="A828">
        <v>2023</v>
      </c>
      <c r="B828">
        <v>11</v>
      </c>
      <c r="C828" t="s">
        <v>44</v>
      </c>
      <c r="D828" t="s">
        <v>48</v>
      </c>
      <c r="E828" t="s">
        <v>49</v>
      </c>
      <c r="F828">
        <v>132788.10999999999</v>
      </c>
    </row>
    <row r="829" spans="1:6" x14ac:dyDescent="0.3">
      <c r="A829">
        <v>2023</v>
      </c>
      <c r="B829">
        <v>11</v>
      </c>
      <c r="C829" t="s">
        <v>45</v>
      </c>
      <c r="D829" t="s">
        <v>48</v>
      </c>
      <c r="E829" t="s">
        <v>49</v>
      </c>
      <c r="F829">
        <v>62191.15</v>
      </c>
    </row>
    <row r="830" spans="1:6" x14ac:dyDescent="0.3">
      <c r="A830">
        <v>2023</v>
      </c>
      <c r="B830">
        <v>11</v>
      </c>
      <c r="C830" t="s">
        <v>37</v>
      </c>
      <c r="D830" t="s">
        <v>48</v>
      </c>
      <c r="E830" t="s">
        <v>50</v>
      </c>
      <c r="F830">
        <v>93771.17</v>
      </c>
    </row>
    <row r="831" spans="1:6" x14ac:dyDescent="0.3">
      <c r="A831">
        <v>2023</v>
      </c>
      <c r="B831">
        <v>11</v>
      </c>
      <c r="C831" t="s">
        <v>40</v>
      </c>
      <c r="D831" t="s">
        <v>48</v>
      </c>
      <c r="E831" t="s">
        <v>50</v>
      </c>
      <c r="F831">
        <v>60363.86</v>
      </c>
    </row>
    <row r="832" spans="1:6" x14ac:dyDescent="0.3">
      <c r="A832">
        <v>2023</v>
      </c>
      <c r="B832">
        <v>11</v>
      </c>
      <c r="C832" t="s">
        <v>41</v>
      </c>
      <c r="D832" t="s">
        <v>48</v>
      </c>
      <c r="E832" t="s">
        <v>50</v>
      </c>
      <c r="F832">
        <v>95566.96</v>
      </c>
    </row>
    <row r="833" spans="1:6" x14ac:dyDescent="0.3">
      <c r="A833">
        <v>2023</v>
      </c>
      <c r="B833">
        <v>11</v>
      </c>
      <c r="C833" t="s">
        <v>42</v>
      </c>
      <c r="D833" t="s">
        <v>48</v>
      </c>
      <c r="E833" t="s">
        <v>50</v>
      </c>
      <c r="F833">
        <v>70585.75</v>
      </c>
    </row>
    <row r="834" spans="1:6" x14ac:dyDescent="0.3">
      <c r="A834">
        <v>2023</v>
      </c>
      <c r="B834">
        <v>11</v>
      </c>
      <c r="C834" t="s">
        <v>43</v>
      </c>
      <c r="D834" t="s">
        <v>48</v>
      </c>
      <c r="E834" t="s">
        <v>50</v>
      </c>
      <c r="F834">
        <v>86120.63</v>
      </c>
    </row>
    <row r="835" spans="1:6" x14ac:dyDescent="0.3">
      <c r="A835">
        <v>2023</v>
      </c>
      <c r="B835">
        <v>11</v>
      </c>
      <c r="C835" t="s">
        <v>44</v>
      </c>
      <c r="D835" t="s">
        <v>48</v>
      </c>
      <c r="E835" t="s">
        <v>50</v>
      </c>
      <c r="F835">
        <v>44347.67</v>
      </c>
    </row>
    <row r="836" spans="1:6" x14ac:dyDescent="0.3">
      <c r="A836">
        <v>2023</v>
      </c>
      <c r="B836">
        <v>11</v>
      </c>
      <c r="C836" t="s">
        <v>45</v>
      </c>
      <c r="D836" t="s">
        <v>48</v>
      </c>
      <c r="E836" t="s">
        <v>50</v>
      </c>
      <c r="F836">
        <v>59365.42</v>
      </c>
    </row>
    <row r="837" spans="1:6" x14ac:dyDescent="0.3">
      <c r="A837">
        <v>2023</v>
      </c>
      <c r="B837">
        <v>11</v>
      </c>
      <c r="C837" t="s">
        <v>37</v>
      </c>
      <c r="D837" t="s">
        <v>48</v>
      </c>
      <c r="E837" t="s">
        <v>51</v>
      </c>
      <c r="F837">
        <v>15540.34</v>
      </c>
    </row>
    <row r="838" spans="1:6" x14ac:dyDescent="0.3">
      <c r="A838">
        <v>2023</v>
      </c>
      <c r="B838">
        <v>11</v>
      </c>
      <c r="C838" t="s">
        <v>40</v>
      </c>
      <c r="D838" t="s">
        <v>48</v>
      </c>
      <c r="E838" t="s">
        <v>51</v>
      </c>
      <c r="F838">
        <v>100750.18</v>
      </c>
    </row>
    <row r="839" spans="1:6" x14ac:dyDescent="0.3">
      <c r="A839">
        <v>2023</v>
      </c>
      <c r="B839">
        <v>11</v>
      </c>
      <c r="C839" t="s">
        <v>41</v>
      </c>
      <c r="D839" t="s">
        <v>48</v>
      </c>
      <c r="E839" t="s">
        <v>51</v>
      </c>
      <c r="F839">
        <v>51432.07</v>
      </c>
    </row>
    <row r="840" spans="1:6" x14ac:dyDescent="0.3">
      <c r="A840">
        <v>2023</v>
      </c>
      <c r="B840">
        <v>11</v>
      </c>
      <c r="C840" t="s">
        <v>42</v>
      </c>
      <c r="D840" t="s">
        <v>48</v>
      </c>
      <c r="E840" t="s">
        <v>51</v>
      </c>
      <c r="F840">
        <v>52526.19</v>
      </c>
    </row>
    <row r="841" spans="1:6" x14ac:dyDescent="0.3">
      <c r="A841">
        <v>2023</v>
      </c>
      <c r="B841">
        <v>11</v>
      </c>
      <c r="C841" t="s">
        <v>43</v>
      </c>
      <c r="D841" t="s">
        <v>48</v>
      </c>
      <c r="E841" t="s">
        <v>51</v>
      </c>
      <c r="F841">
        <v>77891.13</v>
      </c>
    </row>
    <row r="842" spans="1:6" x14ac:dyDescent="0.3">
      <c r="A842">
        <v>2023</v>
      </c>
      <c r="B842">
        <v>11</v>
      </c>
      <c r="C842" t="s">
        <v>44</v>
      </c>
      <c r="D842" t="s">
        <v>48</v>
      </c>
      <c r="E842" t="s">
        <v>51</v>
      </c>
      <c r="F842">
        <v>22275.19</v>
      </c>
    </row>
    <row r="843" spans="1:6" x14ac:dyDescent="0.3">
      <c r="A843">
        <v>2023</v>
      </c>
      <c r="B843">
        <v>11</v>
      </c>
      <c r="C843" t="s">
        <v>45</v>
      </c>
      <c r="D843" t="s">
        <v>48</v>
      </c>
      <c r="E843" t="s">
        <v>51</v>
      </c>
      <c r="F843">
        <v>86729.54</v>
      </c>
    </row>
    <row r="844" spans="1:6" x14ac:dyDescent="0.3">
      <c r="A844">
        <v>2023</v>
      </c>
      <c r="B844">
        <v>11</v>
      </c>
      <c r="C844" t="s">
        <v>37</v>
      </c>
      <c r="D844" t="s">
        <v>48</v>
      </c>
      <c r="E844" t="s">
        <v>52</v>
      </c>
      <c r="F844">
        <v>23368.400000000001</v>
      </c>
    </row>
    <row r="845" spans="1:6" x14ac:dyDescent="0.3">
      <c r="A845">
        <v>2023</v>
      </c>
      <c r="B845">
        <v>11</v>
      </c>
      <c r="C845" t="s">
        <v>40</v>
      </c>
      <c r="D845" t="s">
        <v>48</v>
      </c>
      <c r="E845" t="s">
        <v>52</v>
      </c>
      <c r="F845">
        <v>88718.62</v>
      </c>
    </row>
    <row r="846" spans="1:6" x14ac:dyDescent="0.3">
      <c r="A846">
        <v>2023</v>
      </c>
      <c r="B846">
        <v>11</v>
      </c>
      <c r="C846" t="s">
        <v>41</v>
      </c>
      <c r="D846" t="s">
        <v>48</v>
      </c>
      <c r="E846" t="s">
        <v>52</v>
      </c>
      <c r="F846">
        <v>17410.38</v>
      </c>
    </row>
    <row r="847" spans="1:6" x14ac:dyDescent="0.3">
      <c r="A847">
        <v>2023</v>
      </c>
      <c r="B847">
        <v>11</v>
      </c>
      <c r="C847" t="s">
        <v>42</v>
      </c>
      <c r="D847" t="s">
        <v>48</v>
      </c>
      <c r="E847" t="s">
        <v>52</v>
      </c>
      <c r="F847">
        <v>95197.09</v>
      </c>
    </row>
    <row r="848" spans="1:6" x14ac:dyDescent="0.3">
      <c r="A848">
        <v>2023</v>
      </c>
      <c r="B848">
        <v>11</v>
      </c>
      <c r="C848" t="s">
        <v>43</v>
      </c>
      <c r="D848" t="s">
        <v>48</v>
      </c>
      <c r="E848" t="s">
        <v>52</v>
      </c>
      <c r="F848">
        <v>102504.5</v>
      </c>
    </row>
    <row r="849" spans="1:6" x14ac:dyDescent="0.3">
      <c r="A849">
        <v>2023</v>
      </c>
      <c r="B849">
        <v>11</v>
      </c>
      <c r="C849" t="s">
        <v>44</v>
      </c>
      <c r="D849" t="s">
        <v>48</v>
      </c>
      <c r="E849" t="s">
        <v>52</v>
      </c>
      <c r="F849">
        <v>62632.11</v>
      </c>
    </row>
    <row r="850" spans="1:6" x14ac:dyDescent="0.3">
      <c r="A850">
        <v>2023</v>
      </c>
      <c r="B850">
        <v>11</v>
      </c>
      <c r="C850" t="s">
        <v>45</v>
      </c>
      <c r="D850" t="s">
        <v>48</v>
      </c>
      <c r="E850" t="s">
        <v>52</v>
      </c>
      <c r="F850">
        <v>107113.27</v>
      </c>
    </row>
    <row r="851" spans="1:6" x14ac:dyDescent="0.3">
      <c r="A851">
        <v>2023</v>
      </c>
      <c r="B851">
        <v>11</v>
      </c>
      <c r="C851" t="s">
        <v>37</v>
      </c>
      <c r="D851" t="s">
        <v>48</v>
      </c>
      <c r="E851" t="s">
        <v>53</v>
      </c>
      <c r="F851">
        <v>52039.14</v>
      </c>
    </row>
    <row r="852" spans="1:6" x14ac:dyDescent="0.3">
      <c r="A852">
        <v>2023</v>
      </c>
      <c r="B852">
        <v>11</v>
      </c>
      <c r="C852" t="s">
        <v>40</v>
      </c>
      <c r="D852" t="s">
        <v>48</v>
      </c>
      <c r="E852" t="s">
        <v>53</v>
      </c>
      <c r="F852">
        <v>31436.16</v>
      </c>
    </row>
    <row r="853" spans="1:6" x14ac:dyDescent="0.3">
      <c r="A853">
        <v>2023</v>
      </c>
      <c r="B853">
        <v>11</v>
      </c>
      <c r="C853" t="s">
        <v>41</v>
      </c>
      <c r="D853" t="s">
        <v>48</v>
      </c>
      <c r="E853" t="s">
        <v>53</v>
      </c>
      <c r="F853">
        <v>113181.94</v>
      </c>
    </row>
    <row r="854" spans="1:6" x14ac:dyDescent="0.3">
      <c r="A854">
        <v>2023</v>
      </c>
      <c r="B854">
        <v>11</v>
      </c>
      <c r="C854" t="s">
        <v>42</v>
      </c>
      <c r="D854" t="s">
        <v>48</v>
      </c>
      <c r="E854" t="s">
        <v>53</v>
      </c>
      <c r="F854">
        <v>15095.2</v>
      </c>
    </row>
    <row r="855" spans="1:6" x14ac:dyDescent="0.3">
      <c r="A855">
        <v>2023</v>
      </c>
      <c r="B855">
        <v>11</v>
      </c>
      <c r="C855" t="s">
        <v>43</v>
      </c>
      <c r="D855" t="s">
        <v>48</v>
      </c>
      <c r="E855" t="s">
        <v>53</v>
      </c>
      <c r="F855">
        <v>61796.57</v>
      </c>
    </row>
    <row r="856" spans="1:6" x14ac:dyDescent="0.3">
      <c r="A856">
        <v>2023</v>
      </c>
      <c r="B856">
        <v>11</v>
      </c>
      <c r="C856" t="s">
        <v>44</v>
      </c>
      <c r="D856" t="s">
        <v>48</v>
      </c>
      <c r="E856" t="s">
        <v>53</v>
      </c>
      <c r="F856">
        <v>91866.73</v>
      </c>
    </row>
    <row r="857" spans="1:6" x14ac:dyDescent="0.3">
      <c r="A857">
        <v>2023</v>
      </c>
      <c r="B857">
        <v>11</v>
      </c>
      <c r="C857" t="s">
        <v>45</v>
      </c>
      <c r="D857" t="s">
        <v>48</v>
      </c>
      <c r="E857" t="s">
        <v>53</v>
      </c>
      <c r="F857">
        <v>20414.400000000001</v>
      </c>
    </row>
    <row r="858" spans="1:6" x14ac:dyDescent="0.3">
      <c r="A858">
        <v>2023</v>
      </c>
      <c r="B858">
        <v>11</v>
      </c>
      <c r="C858" t="s">
        <v>37</v>
      </c>
      <c r="D858" t="s">
        <v>48</v>
      </c>
      <c r="E858" t="s">
        <v>54</v>
      </c>
      <c r="F858">
        <v>38137.35</v>
      </c>
    </row>
    <row r="859" spans="1:6" x14ac:dyDescent="0.3">
      <c r="A859">
        <v>2023</v>
      </c>
      <c r="B859">
        <v>11</v>
      </c>
      <c r="C859" t="s">
        <v>40</v>
      </c>
      <c r="D859" t="s">
        <v>48</v>
      </c>
      <c r="E859" t="s">
        <v>54</v>
      </c>
      <c r="F859">
        <v>15590.31</v>
      </c>
    </row>
    <row r="860" spans="1:6" x14ac:dyDescent="0.3">
      <c r="A860">
        <v>2023</v>
      </c>
      <c r="B860">
        <v>11</v>
      </c>
      <c r="C860" t="s">
        <v>41</v>
      </c>
      <c r="D860" t="s">
        <v>48</v>
      </c>
      <c r="E860" t="s">
        <v>54</v>
      </c>
      <c r="F860">
        <v>83033.210000000006</v>
      </c>
    </row>
    <row r="861" spans="1:6" x14ac:dyDescent="0.3">
      <c r="A861">
        <v>2023</v>
      </c>
      <c r="B861">
        <v>11</v>
      </c>
      <c r="C861" t="s">
        <v>42</v>
      </c>
      <c r="D861" t="s">
        <v>48</v>
      </c>
      <c r="E861" t="s">
        <v>54</v>
      </c>
      <c r="F861">
        <v>13472.13</v>
      </c>
    </row>
    <row r="862" spans="1:6" x14ac:dyDescent="0.3">
      <c r="A862">
        <v>2023</v>
      </c>
      <c r="B862">
        <v>11</v>
      </c>
      <c r="C862" t="s">
        <v>43</v>
      </c>
      <c r="D862" t="s">
        <v>48</v>
      </c>
      <c r="E862" t="s">
        <v>54</v>
      </c>
      <c r="F862">
        <v>86686.67</v>
      </c>
    </row>
    <row r="863" spans="1:6" x14ac:dyDescent="0.3">
      <c r="A863">
        <v>2023</v>
      </c>
      <c r="B863">
        <v>11</v>
      </c>
      <c r="C863" t="s">
        <v>44</v>
      </c>
      <c r="D863" t="s">
        <v>48</v>
      </c>
      <c r="E863" t="s">
        <v>54</v>
      </c>
      <c r="F863">
        <v>67291.199999999997</v>
      </c>
    </row>
    <row r="864" spans="1:6" x14ac:dyDescent="0.3">
      <c r="A864">
        <v>2023</v>
      </c>
      <c r="B864">
        <v>11</v>
      </c>
      <c r="C864" t="s">
        <v>45</v>
      </c>
      <c r="D864" t="s">
        <v>48</v>
      </c>
      <c r="E864" t="s">
        <v>54</v>
      </c>
      <c r="F864">
        <v>102323.89</v>
      </c>
    </row>
    <row r="865" spans="1:6" x14ac:dyDescent="0.3">
      <c r="A865">
        <v>2023</v>
      </c>
      <c r="B865">
        <v>11</v>
      </c>
      <c r="C865" t="s">
        <v>37</v>
      </c>
      <c r="D865" t="s">
        <v>48</v>
      </c>
      <c r="E865" t="s">
        <v>55</v>
      </c>
      <c r="F865">
        <v>129349.18</v>
      </c>
    </row>
    <row r="866" spans="1:6" x14ac:dyDescent="0.3">
      <c r="A866">
        <v>2023</v>
      </c>
      <c r="B866">
        <v>11</v>
      </c>
      <c r="C866" t="s">
        <v>40</v>
      </c>
      <c r="D866" t="s">
        <v>48</v>
      </c>
      <c r="E866" t="s">
        <v>55</v>
      </c>
      <c r="F866">
        <v>88348.32</v>
      </c>
    </row>
    <row r="867" spans="1:6" x14ac:dyDescent="0.3">
      <c r="A867">
        <v>2023</v>
      </c>
      <c r="B867">
        <v>11</v>
      </c>
      <c r="C867" t="s">
        <v>41</v>
      </c>
      <c r="D867" t="s">
        <v>48</v>
      </c>
      <c r="E867" t="s">
        <v>55</v>
      </c>
      <c r="F867">
        <v>40664.54</v>
      </c>
    </row>
    <row r="868" spans="1:6" x14ac:dyDescent="0.3">
      <c r="A868">
        <v>2023</v>
      </c>
      <c r="B868">
        <v>11</v>
      </c>
      <c r="C868" t="s">
        <v>42</v>
      </c>
      <c r="D868" t="s">
        <v>48</v>
      </c>
      <c r="E868" t="s">
        <v>55</v>
      </c>
      <c r="F868">
        <v>97979.59</v>
      </c>
    </row>
    <row r="869" spans="1:6" x14ac:dyDescent="0.3">
      <c r="A869">
        <v>2023</v>
      </c>
      <c r="B869">
        <v>11</v>
      </c>
      <c r="C869" t="s">
        <v>43</v>
      </c>
      <c r="D869" t="s">
        <v>48</v>
      </c>
      <c r="E869" t="s">
        <v>55</v>
      </c>
      <c r="F869">
        <v>89033.84</v>
      </c>
    </row>
    <row r="870" spans="1:6" x14ac:dyDescent="0.3">
      <c r="A870">
        <v>2023</v>
      </c>
      <c r="B870">
        <v>11</v>
      </c>
      <c r="C870" t="s">
        <v>44</v>
      </c>
      <c r="D870" t="s">
        <v>48</v>
      </c>
      <c r="E870" t="s">
        <v>55</v>
      </c>
      <c r="F870">
        <v>53060.53</v>
      </c>
    </row>
    <row r="871" spans="1:6" x14ac:dyDescent="0.3">
      <c r="A871">
        <v>2023</v>
      </c>
      <c r="B871">
        <v>11</v>
      </c>
      <c r="C871" t="s">
        <v>45</v>
      </c>
      <c r="D871" t="s">
        <v>48</v>
      </c>
      <c r="E871" t="s">
        <v>55</v>
      </c>
      <c r="F871">
        <v>119115.66</v>
      </c>
    </row>
    <row r="872" spans="1:6" x14ac:dyDescent="0.3">
      <c r="A872">
        <v>2023</v>
      </c>
      <c r="B872">
        <v>11</v>
      </c>
      <c r="C872" t="s">
        <v>37</v>
      </c>
      <c r="D872" t="s">
        <v>48</v>
      </c>
      <c r="E872" t="s">
        <v>56</v>
      </c>
      <c r="F872">
        <v>62691.74</v>
      </c>
    </row>
    <row r="873" spans="1:6" x14ac:dyDescent="0.3">
      <c r="A873">
        <v>2023</v>
      </c>
      <c r="B873">
        <v>11</v>
      </c>
      <c r="C873" t="s">
        <v>40</v>
      </c>
      <c r="D873" t="s">
        <v>48</v>
      </c>
      <c r="E873" t="s">
        <v>56</v>
      </c>
      <c r="F873">
        <v>115527.6</v>
      </c>
    </row>
    <row r="874" spans="1:6" x14ac:dyDescent="0.3">
      <c r="A874">
        <v>2023</v>
      </c>
      <c r="B874">
        <v>11</v>
      </c>
      <c r="C874" t="s">
        <v>41</v>
      </c>
      <c r="D874" t="s">
        <v>48</v>
      </c>
      <c r="E874" t="s">
        <v>56</v>
      </c>
      <c r="F874">
        <v>67562.41</v>
      </c>
    </row>
    <row r="875" spans="1:6" x14ac:dyDescent="0.3">
      <c r="A875">
        <v>2023</v>
      </c>
      <c r="B875">
        <v>11</v>
      </c>
      <c r="C875" t="s">
        <v>42</v>
      </c>
      <c r="D875" t="s">
        <v>48</v>
      </c>
      <c r="E875" t="s">
        <v>56</v>
      </c>
      <c r="F875">
        <v>60990.57</v>
      </c>
    </row>
    <row r="876" spans="1:6" x14ac:dyDescent="0.3">
      <c r="A876">
        <v>2023</v>
      </c>
      <c r="B876">
        <v>11</v>
      </c>
      <c r="C876" t="s">
        <v>43</v>
      </c>
      <c r="D876" t="s">
        <v>48</v>
      </c>
      <c r="E876" t="s">
        <v>56</v>
      </c>
      <c r="F876">
        <v>44480.51</v>
      </c>
    </row>
    <row r="877" spans="1:6" x14ac:dyDescent="0.3">
      <c r="A877">
        <v>2023</v>
      </c>
      <c r="B877">
        <v>11</v>
      </c>
      <c r="C877" t="s">
        <v>44</v>
      </c>
      <c r="D877" t="s">
        <v>48</v>
      </c>
      <c r="E877" t="s">
        <v>56</v>
      </c>
      <c r="F877">
        <v>101954.36</v>
      </c>
    </row>
    <row r="878" spans="1:6" x14ac:dyDescent="0.3">
      <c r="A878">
        <v>2023</v>
      </c>
      <c r="B878">
        <v>11</v>
      </c>
      <c r="C878" t="s">
        <v>45</v>
      </c>
      <c r="D878" t="s">
        <v>48</v>
      </c>
      <c r="E878" t="s">
        <v>56</v>
      </c>
      <c r="F878">
        <v>102660.17</v>
      </c>
    </row>
    <row r="879" spans="1:6" x14ac:dyDescent="0.3">
      <c r="A879">
        <v>2023</v>
      </c>
      <c r="B879">
        <v>11</v>
      </c>
      <c r="C879" t="s">
        <v>37</v>
      </c>
      <c r="D879" t="s">
        <v>57</v>
      </c>
      <c r="E879" t="s">
        <v>58</v>
      </c>
      <c r="F879">
        <v>93019.15</v>
      </c>
    </row>
    <row r="880" spans="1:6" x14ac:dyDescent="0.3">
      <c r="A880">
        <v>2023</v>
      </c>
      <c r="B880">
        <v>11</v>
      </c>
      <c r="C880" t="s">
        <v>37</v>
      </c>
      <c r="D880" t="s">
        <v>57</v>
      </c>
      <c r="E880" t="s">
        <v>59</v>
      </c>
      <c r="F880">
        <v>143196.4</v>
      </c>
    </row>
    <row r="881" spans="1:6" x14ac:dyDescent="0.3">
      <c r="A881">
        <v>2023</v>
      </c>
      <c r="B881">
        <v>11</v>
      </c>
      <c r="C881" t="s">
        <v>37</v>
      </c>
      <c r="D881" t="s">
        <v>57</v>
      </c>
      <c r="E881" t="s">
        <v>60</v>
      </c>
      <c r="F881">
        <v>28577.33</v>
      </c>
    </row>
    <row r="882" spans="1:6" x14ac:dyDescent="0.3">
      <c r="A882">
        <v>2023</v>
      </c>
      <c r="B882">
        <v>12</v>
      </c>
      <c r="C882" t="s">
        <v>37</v>
      </c>
      <c r="D882" t="s">
        <v>38</v>
      </c>
      <c r="E882" t="s">
        <v>39</v>
      </c>
      <c r="F882">
        <v>105176.91</v>
      </c>
    </row>
    <row r="883" spans="1:6" x14ac:dyDescent="0.3">
      <c r="A883">
        <v>2023</v>
      </c>
      <c r="B883">
        <v>12</v>
      </c>
      <c r="C883" t="s">
        <v>40</v>
      </c>
      <c r="D883" t="s">
        <v>38</v>
      </c>
      <c r="E883" t="s">
        <v>39</v>
      </c>
      <c r="F883">
        <v>80317.08</v>
      </c>
    </row>
    <row r="884" spans="1:6" x14ac:dyDescent="0.3">
      <c r="A884">
        <v>2023</v>
      </c>
      <c r="B884">
        <v>12</v>
      </c>
      <c r="C884" t="s">
        <v>41</v>
      </c>
      <c r="D884" t="s">
        <v>38</v>
      </c>
      <c r="E884" t="s">
        <v>39</v>
      </c>
      <c r="F884">
        <v>87158.25</v>
      </c>
    </row>
    <row r="885" spans="1:6" x14ac:dyDescent="0.3">
      <c r="A885">
        <v>2023</v>
      </c>
      <c r="B885">
        <v>12</v>
      </c>
      <c r="C885" t="s">
        <v>42</v>
      </c>
      <c r="D885" t="s">
        <v>38</v>
      </c>
      <c r="E885" t="s">
        <v>39</v>
      </c>
      <c r="F885">
        <v>81385.87</v>
      </c>
    </row>
    <row r="886" spans="1:6" x14ac:dyDescent="0.3">
      <c r="A886">
        <v>2023</v>
      </c>
      <c r="B886">
        <v>12</v>
      </c>
      <c r="C886" t="s">
        <v>43</v>
      </c>
      <c r="D886" t="s">
        <v>38</v>
      </c>
      <c r="E886" t="s">
        <v>39</v>
      </c>
      <c r="F886">
        <v>99238.98</v>
      </c>
    </row>
    <row r="887" spans="1:6" x14ac:dyDescent="0.3">
      <c r="A887">
        <v>2023</v>
      </c>
      <c r="B887">
        <v>12</v>
      </c>
      <c r="C887" t="s">
        <v>44</v>
      </c>
      <c r="D887" t="s">
        <v>38</v>
      </c>
      <c r="E887" t="s">
        <v>39</v>
      </c>
      <c r="F887">
        <v>92125.68</v>
      </c>
    </row>
    <row r="888" spans="1:6" x14ac:dyDescent="0.3">
      <c r="A888">
        <v>2023</v>
      </c>
      <c r="B888">
        <v>12</v>
      </c>
      <c r="C888" t="s">
        <v>45</v>
      </c>
      <c r="D888" t="s">
        <v>38</v>
      </c>
      <c r="E888" t="s">
        <v>39</v>
      </c>
      <c r="F888">
        <v>86455.039999999994</v>
      </c>
    </row>
    <row r="889" spans="1:6" x14ac:dyDescent="0.3">
      <c r="A889">
        <v>2023</v>
      </c>
      <c r="B889">
        <v>12</v>
      </c>
      <c r="C889" t="s">
        <v>37</v>
      </c>
      <c r="D889" t="s">
        <v>38</v>
      </c>
      <c r="E889" t="s">
        <v>46</v>
      </c>
      <c r="F889">
        <v>65398.37</v>
      </c>
    </row>
    <row r="890" spans="1:6" x14ac:dyDescent="0.3">
      <c r="A890">
        <v>2023</v>
      </c>
      <c r="B890">
        <v>12</v>
      </c>
      <c r="C890" t="s">
        <v>40</v>
      </c>
      <c r="D890" t="s">
        <v>38</v>
      </c>
      <c r="E890" t="s">
        <v>46</v>
      </c>
      <c r="F890">
        <v>94691.13</v>
      </c>
    </row>
    <row r="891" spans="1:6" x14ac:dyDescent="0.3">
      <c r="A891">
        <v>2023</v>
      </c>
      <c r="B891">
        <v>12</v>
      </c>
      <c r="C891" t="s">
        <v>41</v>
      </c>
      <c r="D891" t="s">
        <v>38</v>
      </c>
      <c r="E891" t="s">
        <v>46</v>
      </c>
      <c r="F891">
        <v>74308.86</v>
      </c>
    </row>
    <row r="892" spans="1:6" x14ac:dyDescent="0.3">
      <c r="A892">
        <v>2023</v>
      </c>
      <c r="B892">
        <v>12</v>
      </c>
      <c r="C892" t="s">
        <v>42</v>
      </c>
      <c r="D892" t="s">
        <v>38</v>
      </c>
      <c r="E892" t="s">
        <v>46</v>
      </c>
      <c r="F892">
        <v>42253.78</v>
      </c>
    </row>
    <row r="893" spans="1:6" x14ac:dyDescent="0.3">
      <c r="A893">
        <v>2023</v>
      </c>
      <c r="B893">
        <v>12</v>
      </c>
      <c r="C893" t="s">
        <v>43</v>
      </c>
      <c r="D893" t="s">
        <v>38</v>
      </c>
      <c r="E893" t="s">
        <v>46</v>
      </c>
      <c r="F893">
        <v>126624.88</v>
      </c>
    </row>
    <row r="894" spans="1:6" x14ac:dyDescent="0.3">
      <c r="A894">
        <v>2023</v>
      </c>
      <c r="B894">
        <v>12</v>
      </c>
      <c r="C894" t="s">
        <v>44</v>
      </c>
      <c r="D894" t="s">
        <v>38</v>
      </c>
      <c r="E894" t="s">
        <v>46</v>
      </c>
      <c r="F894">
        <v>81146.539999999994</v>
      </c>
    </row>
    <row r="895" spans="1:6" x14ac:dyDescent="0.3">
      <c r="A895">
        <v>2023</v>
      </c>
      <c r="B895">
        <v>12</v>
      </c>
      <c r="C895" t="s">
        <v>45</v>
      </c>
      <c r="D895" t="s">
        <v>38</v>
      </c>
      <c r="E895" t="s">
        <v>46</v>
      </c>
      <c r="F895">
        <v>27504.05</v>
      </c>
    </row>
    <row r="896" spans="1:6" x14ac:dyDescent="0.3">
      <c r="A896">
        <v>2023</v>
      </c>
      <c r="B896">
        <v>12</v>
      </c>
      <c r="C896" t="s">
        <v>37</v>
      </c>
      <c r="D896" t="s">
        <v>38</v>
      </c>
      <c r="E896" t="s">
        <v>47</v>
      </c>
      <c r="F896">
        <v>64270.04</v>
      </c>
    </row>
    <row r="897" spans="1:6" x14ac:dyDescent="0.3">
      <c r="A897">
        <v>2023</v>
      </c>
      <c r="B897">
        <v>12</v>
      </c>
      <c r="C897" t="s">
        <v>40</v>
      </c>
      <c r="D897" t="s">
        <v>38</v>
      </c>
      <c r="E897" t="s">
        <v>47</v>
      </c>
      <c r="F897">
        <v>78823.539999999994</v>
      </c>
    </row>
    <row r="898" spans="1:6" x14ac:dyDescent="0.3">
      <c r="A898">
        <v>2023</v>
      </c>
      <c r="B898">
        <v>12</v>
      </c>
      <c r="C898" t="s">
        <v>41</v>
      </c>
      <c r="D898" t="s">
        <v>38</v>
      </c>
      <c r="E898" t="s">
        <v>47</v>
      </c>
      <c r="F898">
        <v>127844.09</v>
      </c>
    </row>
    <row r="899" spans="1:6" x14ac:dyDescent="0.3">
      <c r="A899">
        <v>2023</v>
      </c>
      <c r="B899">
        <v>12</v>
      </c>
      <c r="C899" t="s">
        <v>42</v>
      </c>
      <c r="D899" t="s">
        <v>38</v>
      </c>
      <c r="E899" t="s">
        <v>47</v>
      </c>
      <c r="F899">
        <v>81770.5</v>
      </c>
    </row>
    <row r="900" spans="1:6" x14ac:dyDescent="0.3">
      <c r="A900">
        <v>2023</v>
      </c>
      <c r="B900">
        <v>12</v>
      </c>
      <c r="C900" t="s">
        <v>43</v>
      </c>
      <c r="D900" t="s">
        <v>38</v>
      </c>
      <c r="E900" t="s">
        <v>47</v>
      </c>
      <c r="F900">
        <v>93604.66</v>
      </c>
    </row>
    <row r="901" spans="1:6" x14ac:dyDescent="0.3">
      <c r="A901">
        <v>2023</v>
      </c>
      <c r="B901">
        <v>12</v>
      </c>
      <c r="C901" t="s">
        <v>44</v>
      </c>
      <c r="D901" t="s">
        <v>38</v>
      </c>
      <c r="E901" t="s">
        <v>47</v>
      </c>
      <c r="F901">
        <v>100145.64</v>
      </c>
    </row>
    <row r="902" spans="1:6" x14ac:dyDescent="0.3">
      <c r="A902">
        <v>2023</v>
      </c>
      <c r="B902">
        <v>12</v>
      </c>
      <c r="C902" t="s">
        <v>45</v>
      </c>
      <c r="D902" t="s">
        <v>38</v>
      </c>
      <c r="E902" t="s">
        <v>47</v>
      </c>
      <c r="F902">
        <v>23115.040000000001</v>
      </c>
    </row>
    <row r="903" spans="1:6" x14ac:dyDescent="0.3">
      <c r="A903">
        <v>2023</v>
      </c>
      <c r="B903">
        <v>12</v>
      </c>
      <c r="C903" t="s">
        <v>37</v>
      </c>
      <c r="D903" t="s">
        <v>48</v>
      </c>
      <c r="E903" t="s">
        <v>49</v>
      </c>
      <c r="F903">
        <v>29419.58</v>
      </c>
    </row>
    <row r="904" spans="1:6" x14ac:dyDescent="0.3">
      <c r="A904">
        <v>2023</v>
      </c>
      <c r="B904">
        <v>12</v>
      </c>
      <c r="C904" t="s">
        <v>40</v>
      </c>
      <c r="D904" t="s">
        <v>48</v>
      </c>
      <c r="E904" t="s">
        <v>49</v>
      </c>
      <c r="F904">
        <v>72709.570000000007</v>
      </c>
    </row>
    <row r="905" spans="1:6" x14ac:dyDescent="0.3">
      <c r="A905">
        <v>2023</v>
      </c>
      <c r="B905">
        <v>12</v>
      </c>
      <c r="C905" t="s">
        <v>41</v>
      </c>
      <c r="D905" t="s">
        <v>48</v>
      </c>
      <c r="E905" t="s">
        <v>49</v>
      </c>
      <c r="F905">
        <v>72672.5</v>
      </c>
    </row>
    <row r="906" spans="1:6" x14ac:dyDescent="0.3">
      <c r="A906">
        <v>2023</v>
      </c>
      <c r="B906">
        <v>12</v>
      </c>
      <c r="C906" t="s">
        <v>42</v>
      </c>
      <c r="D906" t="s">
        <v>48</v>
      </c>
      <c r="E906" t="s">
        <v>49</v>
      </c>
      <c r="F906">
        <v>116014.79</v>
      </c>
    </row>
    <row r="907" spans="1:6" x14ac:dyDescent="0.3">
      <c r="A907">
        <v>2023</v>
      </c>
      <c r="B907">
        <v>12</v>
      </c>
      <c r="C907" t="s">
        <v>43</v>
      </c>
      <c r="D907" t="s">
        <v>48</v>
      </c>
      <c r="E907" t="s">
        <v>49</v>
      </c>
      <c r="F907">
        <v>71260.759999999995</v>
      </c>
    </row>
    <row r="908" spans="1:6" x14ac:dyDescent="0.3">
      <c r="A908">
        <v>2023</v>
      </c>
      <c r="B908">
        <v>12</v>
      </c>
      <c r="C908" t="s">
        <v>44</v>
      </c>
      <c r="D908" t="s">
        <v>48</v>
      </c>
      <c r="E908" t="s">
        <v>49</v>
      </c>
      <c r="F908">
        <v>18277.990000000002</v>
      </c>
    </row>
    <row r="909" spans="1:6" x14ac:dyDescent="0.3">
      <c r="A909">
        <v>2023</v>
      </c>
      <c r="B909">
        <v>12</v>
      </c>
      <c r="C909" t="s">
        <v>45</v>
      </c>
      <c r="D909" t="s">
        <v>48</v>
      </c>
      <c r="E909" t="s">
        <v>49</v>
      </c>
      <c r="F909">
        <v>109730.48</v>
      </c>
    </row>
    <row r="910" spans="1:6" x14ac:dyDescent="0.3">
      <c r="A910">
        <v>2023</v>
      </c>
      <c r="B910">
        <v>12</v>
      </c>
      <c r="C910" t="s">
        <v>37</v>
      </c>
      <c r="D910" t="s">
        <v>48</v>
      </c>
      <c r="E910" t="s">
        <v>50</v>
      </c>
      <c r="F910">
        <v>51027.38</v>
      </c>
    </row>
    <row r="911" spans="1:6" x14ac:dyDescent="0.3">
      <c r="A911">
        <v>2023</v>
      </c>
      <c r="B911">
        <v>12</v>
      </c>
      <c r="C911" t="s">
        <v>40</v>
      </c>
      <c r="D911" t="s">
        <v>48</v>
      </c>
      <c r="E911" t="s">
        <v>50</v>
      </c>
      <c r="F911">
        <v>91361.13</v>
      </c>
    </row>
    <row r="912" spans="1:6" x14ac:dyDescent="0.3">
      <c r="A912">
        <v>2023</v>
      </c>
      <c r="B912">
        <v>12</v>
      </c>
      <c r="C912" t="s">
        <v>41</v>
      </c>
      <c r="D912" t="s">
        <v>48</v>
      </c>
      <c r="E912" t="s">
        <v>50</v>
      </c>
      <c r="F912">
        <v>13216.11</v>
      </c>
    </row>
    <row r="913" spans="1:6" x14ac:dyDescent="0.3">
      <c r="A913">
        <v>2023</v>
      </c>
      <c r="B913">
        <v>12</v>
      </c>
      <c r="C913" t="s">
        <v>42</v>
      </c>
      <c r="D913" t="s">
        <v>48</v>
      </c>
      <c r="E913" t="s">
        <v>50</v>
      </c>
      <c r="F913">
        <v>76335.839999999997</v>
      </c>
    </row>
    <row r="914" spans="1:6" x14ac:dyDescent="0.3">
      <c r="A914">
        <v>2023</v>
      </c>
      <c r="B914">
        <v>12</v>
      </c>
      <c r="C914" t="s">
        <v>43</v>
      </c>
      <c r="D914" t="s">
        <v>48</v>
      </c>
      <c r="E914" t="s">
        <v>50</v>
      </c>
      <c r="F914">
        <v>101297.48</v>
      </c>
    </row>
    <row r="915" spans="1:6" x14ac:dyDescent="0.3">
      <c r="A915">
        <v>2023</v>
      </c>
      <c r="B915">
        <v>12</v>
      </c>
      <c r="C915" t="s">
        <v>44</v>
      </c>
      <c r="D915" t="s">
        <v>48</v>
      </c>
      <c r="E915" t="s">
        <v>50</v>
      </c>
      <c r="F915">
        <v>61718.06</v>
      </c>
    </row>
    <row r="916" spans="1:6" x14ac:dyDescent="0.3">
      <c r="A916">
        <v>2023</v>
      </c>
      <c r="B916">
        <v>12</v>
      </c>
      <c r="C916" t="s">
        <v>45</v>
      </c>
      <c r="D916" t="s">
        <v>48</v>
      </c>
      <c r="E916" t="s">
        <v>50</v>
      </c>
      <c r="F916">
        <v>48813.67</v>
      </c>
    </row>
    <row r="917" spans="1:6" x14ac:dyDescent="0.3">
      <c r="A917">
        <v>2023</v>
      </c>
      <c r="B917">
        <v>12</v>
      </c>
      <c r="C917" t="s">
        <v>37</v>
      </c>
      <c r="D917" t="s">
        <v>48</v>
      </c>
      <c r="E917" t="s">
        <v>51</v>
      </c>
      <c r="F917">
        <v>51082.64</v>
      </c>
    </row>
    <row r="918" spans="1:6" x14ac:dyDescent="0.3">
      <c r="A918">
        <v>2023</v>
      </c>
      <c r="B918">
        <v>12</v>
      </c>
      <c r="C918" t="s">
        <v>40</v>
      </c>
      <c r="D918" t="s">
        <v>48</v>
      </c>
      <c r="E918" t="s">
        <v>51</v>
      </c>
      <c r="F918">
        <v>42797.15</v>
      </c>
    </row>
    <row r="919" spans="1:6" x14ac:dyDescent="0.3">
      <c r="A919">
        <v>2023</v>
      </c>
      <c r="B919">
        <v>12</v>
      </c>
      <c r="C919" t="s">
        <v>41</v>
      </c>
      <c r="D919" t="s">
        <v>48</v>
      </c>
      <c r="E919" t="s">
        <v>51</v>
      </c>
      <c r="F919">
        <v>87295.82</v>
      </c>
    </row>
    <row r="920" spans="1:6" x14ac:dyDescent="0.3">
      <c r="A920">
        <v>2023</v>
      </c>
      <c r="B920">
        <v>12</v>
      </c>
      <c r="C920" t="s">
        <v>42</v>
      </c>
      <c r="D920" t="s">
        <v>48</v>
      </c>
      <c r="E920" t="s">
        <v>51</v>
      </c>
      <c r="F920">
        <v>97122.72</v>
      </c>
    </row>
    <row r="921" spans="1:6" x14ac:dyDescent="0.3">
      <c r="A921">
        <v>2023</v>
      </c>
      <c r="B921">
        <v>12</v>
      </c>
      <c r="C921" t="s">
        <v>43</v>
      </c>
      <c r="D921" t="s">
        <v>48</v>
      </c>
      <c r="E921" t="s">
        <v>51</v>
      </c>
      <c r="F921">
        <v>50403.19</v>
      </c>
    </row>
    <row r="922" spans="1:6" x14ac:dyDescent="0.3">
      <c r="A922">
        <v>2023</v>
      </c>
      <c r="B922">
        <v>12</v>
      </c>
      <c r="C922" t="s">
        <v>44</v>
      </c>
      <c r="D922" t="s">
        <v>48</v>
      </c>
      <c r="E922" t="s">
        <v>51</v>
      </c>
      <c r="F922">
        <v>22235.41</v>
      </c>
    </row>
    <row r="923" spans="1:6" x14ac:dyDescent="0.3">
      <c r="A923">
        <v>2023</v>
      </c>
      <c r="B923">
        <v>12</v>
      </c>
      <c r="C923" t="s">
        <v>45</v>
      </c>
      <c r="D923" t="s">
        <v>48</v>
      </c>
      <c r="E923" t="s">
        <v>51</v>
      </c>
      <c r="F923">
        <v>42528.09</v>
      </c>
    </row>
    <row r="924" spans="1:6" x14ac:dyDescent="0.3">
      <c r="A924">
        <v>2023</v>
      </c>
      <c r="B924">
        <v>12</v>
      </c>
      <c r="C924" t="s">
        <v>37</v>
      </c>
      <c r="D924" t="s">
        <v>48</v>
      </c>
      <c r="E924" t="s">
        <v>52</v>
      </c>
      <c r="F924">
        <v>110335.81</v>
      </c>
    </row>
    <row r="925" spans="1:6" x14ac:dyDescent="0.3">
      <c r="A925">
        <v>2023</v>
      </c>
      <c r="B925">
        <v>12</v>
      </c>
      <c r="C925" t="s">
        <v>40</v>
      </c>
      <c r="D925" t="s">
        <v>48</v>
      </c>
      <c r="E925" t="s">
        <v>52</v>
      </c>
      <c r="F925">
        <v>98426.12</v>
      </c>
    </row>
    <row r="926" spans="1:6" x14ac:dyDescent="0.3">
      <c r="A926">
        <v>2023</v>
      </c>
      <c r="B926">
        <v>12</v>
      </c>
      <c r="C926" t="s">
        <v>41</v>
      </c>
      <c r="D926" t="s">
        <v>48</v>
      </c>
      <c r="E926" t="s">
        <v>52</v>
      </c>
      <c r="F926">
        <v>96690.12</v>
      </c>
    </row>
    <row r="927" spans="1:6" x14ac:dyDescent="0.3">
      <c r="A927">
        <v>2023</v>
      </c>
      <c r="B927">
        <v>12</v>
      </c>
      <c r="C927" t="s">
        <v>42</v>
      </c>
      <c r="D927" t="s">
        <v>48</v>
      </c>
      <c r="E927" t="s">
        <v>52</v>
      </c>
      <c r="F927">
        <v>67755.08</v>
      </c>
    </row>
    <row r="928" spans="1:6" x14ac:dyDescent="0.3">
      <c r="A928">
        <v>2023</v>
      </c>
      <c r="B928">
        <v>12</v>
      </c>
      <c r="C928" t="s">
        <v>43</v>
      </c>
      <c r="D928" t="s">
        <v>48</v>
      </c>
      <c r="E928" t="s">
        <v>52</v>
      </c>
      <c r="F928">
        <v>28567.51</v>
      </c>
    </row>
    <row r="929" spans="1:6" x14ac:dyDescent="0.3">
      <c r="A929">
        <v>2023</v>
      </c>
      <c r="B929">
        <v>12</v>
      </c>
      <c r="C929" t="s">
        <v>44</v>
      </c>
      <c r="D929" t="s">
        <v>48</v>
      </c>
      <c r="E929" t="s">
        <v>52</v>
      </c>
      <c r="F929">
        <v>15141.78</v>
      </c>
    </row>
    <row r="930" spans="1:6" x14ac:dyDescent="0.3">
      <c r="A930">
        <v>2023</v>
      </c>
      <c r="B930">
        <v>12</v>
      </c>
      <c r="C930" t="s">
        <v>45</v>
      </c>
      <c r="D930" t="s">
        <v>48</v>
      </c>
      <c r="E930" t="s">
        <v>52</v>
      </c>
      <c r="F930">
        <v>142176.03</v>
      </c>
    </row>
    <row r="931" spans="1:6" x14ac:dyDescent="0.3">
      <c r="A931">
        <v>2023</v>
      </c>
      <c r="B931">
        <v>12</v>
      </c>
      <c r="C931" t="s">
        <v>37</v>
      </c>
      <c r="D931" t="s">
        <v>48</v>
      </c>
      <c r="E931" t="s">
        <v>53</v>
      </c>
      <c r="F931">
        <v>25604.45</v>
      </c>
    </row>
    <row r="932" spans="1:6" x14ac:dyDescent="0.3">
      <c r="A932">
        <v>2023</v>
      </c>
      <c r="B932">
        <v>12</v>
      </c>
      <c r="C932" t="s">
        <v>40</v>
      </c>
      <c r="D932" t="s">
        <v>48</v>
      </c>
      <c r="E932" t="s">
        <v>53</v>
      </c>
      <c r="F932">
        <v>73679.77</v>
      </c>
    </row>
    <row r="933" spans="1:6" x14ac:dyDescent="0.3">
      <c r="A933">
        <v>2023</v>
      </c>
      <c r="B933">
        <v>12</v>
      </c>
      <c r="C933" t="s">
        <v>41</v>
      </c>
      <c r="D933" t="s">
        <v>48</v>
      </c>
      <c r="E933" t="s">
        <v>53</v>
      </c>
      <c r="F933">
        <v>79312.490000000005</v>
      </c>
    </row>
    <row r="934" spans="1:6" x14ac:dyDescent="0.3">
      <c r="A934">
        <v>2023</v>
      </c>
      <c r="B934">
        <v>12</v>
      </c>
      <c r="C934" t="s">
        <v>42</v>
      </c>
      <c r="D934" t="s">
        <v>48</v>
      </c>
      <c r="E934" t="s">
        <v>53</v>
      </c>
      <c r="F934">
        <v>41864.620000000003</v>
      </c>
    </row>
    <row r="935" spans="1:6" x14ac:dyDescent="0.3">
      <c r="A935">
        <v>2023</v>
      </c>
      <c r="B935">
        <v>12</v>
      </c>
      <c r="C935" t="s">
        <v>43</v>
      </c>
      <c r="D935" t="s">
        <v>48</v>
      </c>
      <c r="E935" t="s">
        <v>53</v>
      </c>
      <c r="F935">
        <v>51869.27</v>
      </c>
    </row>
    <row r="936" spans="1:6" x14ac:dyDescent="0.3">
      <c r="A936">
        <v>2023</v>
      </c>
      <c r="B936">
        <v>12</v>
      </c>
      <c r="C936" t="s">
        <v>44</v>
      </c>
      <c r="D936" t="s">
        <v>48</v>
      </c>
      <c r="E936" t="s">
        <v>53</v>
      </c>
      <c r="F936">
        <v>58029.2</v>
      </c>
    </row>
    <row r="937" spans="1:6" x14ac:dyDescent="0.3">
      <c r="A937">
        <v>2023</v>
      </c>
      <c r="B937">
        <v>12</v>
      </c>
      <c r="C937" t="s">
        <v>45</v>
      </c>
      <c r="D937" t="s">
        <v>48</v>
      </c>
      <c r="E937" t="s">
        <v>53</v>
      </c>
      <c r="F937">
        <v>14084</v>
      </c>
    </row>
    <row r="938" spans="1:6" x14ac:dyDescent="0.3">
      <c r="A938">
        <v>2023</v>
      </c>
      <c r="B938">
        <v>12</v>
      </c>
      <c r="C938" t="s">
        <v>37</v>
      </c>
      <c r="D938" t="s">
        <v>48</v>
      </c>
      <c r="E938" t="s">
        <v>54</v>
      </c>
      <c r="F938">
        <v>52926.11</v>
      </c>
    </row>
    <row r="939" spans="1:6" x14ac:dyDescent="0.3">
      <c r="A939">
        <v>2023</v>
      </c>
      <c r="B939">
        <v>12</v>
      </c>
      <c r="C939" t="s">
        <v>40</v>
      </c>
      <c r="D939" t="s">
        <v>48</v>
      </c>
      <c r="E939" t="s">
        <v>54</v>
      </c>
      <c r="F939">
        <v>49131.01</v>
      </c>
    </row>
    <row r="940" spans="1:6" x14ac:dyDescent="0.3">
      <c r="A940">
        <v>2023</v>
      </c>
      <c r="B940">
        <v>12</v>
      </c>
      <c r="C940" t="s">
        <v>41</v>
      </c>
      <c r="D940" t="s">
        <v>48</v>
      </c>
      <c r="E940" t="s">
        <v>54</v>
      </c>
      <c r="F940">
        <v>78939.83</v>
      </c>
    </row>
    <row r="941" spans="1:6" x14ac:dyDescent="0.3">
      <c r="A941">
        <v>2023</v>
      </c>
      <c r="B941">
        <v>12</v>
      </c>
      <c r="C941" t="s">
        <v>42</v>
      </c>
      <c r="D941" t="s">
        <v>48</v>
      </c>
      <c r="E941" t="s">
        <v>54</v>
      </c>
      <c r="F941">
        <v>113408.59</v>
      </c>
    </row>
    <row r="942" spans="1:6" x14ac:dyDescent="0.3">
      <c r="A942">
        <v>2023</v>
      </c>
      <c r="B942">
        <v>12</v>
      </c>
      <c r="C942" t="s">
        <v>43</v>
      </c>
      <c r="D942" t="s">
        <v>48</v>
      </c>
      <c r="E942" t="s">
        <v>54</v>
      </c>
      <c r="F942">
        <v>14119.7</v>
      </c>
    </row>
    <row r="943" spans="1:6" x14ac:dyDescent="0.3">
      <c r="A943">
        <v>2023</v>
      </c>
      <c r="B943">
        <v>12</v>
      </c>
      <c r="C943" t="s">
        <v>44</v>
      </c>
      <c r="D943" t="s">
        <v>48</v>
      </c>
      <c r="E943" t="s">
        <v>54</v>
      </c>
      <c r="F943">
        <v>49372.800000000003</v>
      </c>
    </row>
    <row r="944" spans="1:6" x14ac:dyDescent="0.3">
      <c r="A944">
        <v>2023</v>
      </c>
      <c r="B944">
        <v>12</v>
      </c>
      <c r="C944" t="s">
        <v>45</v>
      </c>
      <c r="D944" t="s">
        <v>48</v>
      </c>
      <c r="E944" t="s">
        <v>54</v>
      </c>
      <c r="F944">
        <v>12016.73</v>
      </c>
    </row>
    <row r="945" spans="1:6" x14ac:dyDescent="0.3">
      <c r="A945">
        <v>2023</v>
      </c>
      <c r="B945">
        <v>12</v>
      </c>
      <c r="C945" t="s">
        <v>37</v>
      </c>
      <c r="D945" t="s">
        <v>48</v>
      </c>
      <c r="E945" t="s">
        <v>55</v>
      </c>
      <c r="F945">
        <v>56708.09</v>
      </c>
    </row>
    <row r="946" spans="1:6" x14ac:dyDescent="0.3">
      <c r="A946">
        <v>2023</v>
      </c>
      <c r="B946">
        <v>12</v>
      </c>
      <c r="C946" t="s">
        <v>40</v>
      </c>
      <c r="D946" t="s">
        <v>48</v>
      </c>
      <c r="E946" t="s">
        <v>55</v>
      </c>
      <c r="F946">
        <v>32942.44</v>
      </c>
    </row>
    <row r="947" spans="1:6" x14ac:dyDescent="0.3">
      <c r="A947">
        <v>2023</v>
      </c>
      <c r="B947">
        <v>12</v>
      </c>
      <c r="C947" t="s">
        <v>41</v>
      </c>
      <c r="D947" t="s">
        <v>48</v>
      </c>
      <c r="E947" t="s">
        <v>55</v>
      </c>
      <c r="F947">
        <v>133049.48000000001</v>
      </c>
    </row>
    <row r="948" spans="1:6" x14ac:dyDescent="0.3">
      <c r="A948">
        <v>2023</v>
      </c>
      <c r="B948">
        <v>12</v>
      </c>
      <c r="C948" t="s">
        <v>42</v>
      </c>
      <c r="D948" t="s">
        <v>48</v>
      </c>
      <c r="E948" t="s">
        <v>55</v>
      </c>
      <c r="F948">
        <v>67042.960000000006</v>
      </c>
    </row>
    <row r="949" spans="1:6" x14ac:dyDescent="0.3">
      <c r="A949">
        <v>2023</v>
      </c>
      <c r="B949">
        <v>12</v>
      </c>
      <c r="C949" t="s">
        <v>43</v>
      </c>
      <c r="D949" t="s">
        <v>48</v>
      </c>
      <c r="E949" t="s">
        <v>55</v>
      </c>
      <c r="F949">
        <v>14970.43</v>
      </c>
    </row>
    <row r="950" spans="1:6" x14ac:dyDescent="0.3">
      <c r="A950">
        <v>2023</v>
      </c>
      <c r="B950">
        <v>12</v>
      </c>
      <c r="C950" t="s">
        <v>44</v>
      </c>
      <c r="D950" t="s">
        <v>48</v>
      </c>
      <c r="E950" t="s">
        <v>55</v>
      </c>
      <c r="F950">
        <v>124005.14</v>
      </c>
    </row>
    <row r="951" spans="1:6" x14ac:dyDescent="0.3">
      <c r="A951">
        <v>2023</v>
      </c>
      <c r="B951">
        <v>12</v>
      </c>
      <c r="C951" t="s">
        <v>45</v>
      </c>
      <c r="D951" t="s">
        <v>48</v>
      </c>
      <c r="E951" t="s">
        <v>55</v>
      </c>
      <c r="F951">
        <v>58725.760000000002</v>
      </c>
    </row>
    <row r="952" spans="1:6" x14ac:dyDescent="0.3">
      <c r="A952">
        <v>2023</v>
      </c>
      <c r="B952">
        <v>12</v>
      </c>
      <c r="C952" t="s">
        <v>37</v>
      </c>
      <c r="D952" t="s">
        <v>48</v>
      </c>
      <c r="E952" t="s">
        <v>56</v>
      </c>
      <c r="F952">
        <v>113685.17</v>
      </c>
    </row>
    <row r="953" spans="1:6" x14ac:dyDescent="0.3">
      <c r="A953">
        <v>2023</v>
      </c>
      <c r="B953">
        <v>12</v>
      </c>
      <c r="C953" t="s">
        <v>40</v>
      </c>
      <c r="D953" t="s">
        <v>48</v>
      </c>
      <c r="E953" t="s">
        <v>56</v>
      </c>
      <c r="F953">
        <v>50257.17</v>
      </c>
    </row>
    <row r="954" spans="1:6" x14ac:dyDescent="0.3">
      <c r="A954">
        <v>2023</v>
      </c>
      <c r="B954">
        <v>12</v>
      </c>
      <c r="C954" t="s">
        <v>41</v>
      </c>
      <c r="D954" t="s">
        <v>48</v>
      </c>
      <c r="E954" t="s">
        <v>56</v>
      </c>
      <c r="F954">
        <v>49376.03</v>
      </c>
    </row>
    <row r="955" spans="1:6" x14ac:dyDescent="0.3">
      <c r="A955">
        <v>2023</v>
      </c>
      <c r="B955">
        <v>12</v>
      </c>
      <c r="C955" t="s">
        <v>42</v>
      </c>
      <c r="D955" t="s">
        <v>48</v>
      </c>
      <c r="E955" t="s">
        <v>56</v>
      </c>
      <c r="F955">
        <v>124469.05</v>
      </c>
    </row>
    <row r="956" spans="1:6" x14ac:dyDescent="0.3">
      <c r="A956">
        <v>2023</v>
      </c>
      <c r="B956">
        <v>12</v>
      </c>
      <c r="C956" t="s">
        <v>43</v>
      </c>
      <c r="D956" t="s">
        <v>48</v>
      </c>
      <c r="E956" t="s">
        <v>56</v>
      </c>
      <c r="F956">
        <v>82705.179999999993</v>
      </c>
    </row>
    <row r="957" spans="1:6" x14ac:dyDescent="0.3">
      <c r="A957">
        <v>2023</v>
      </c>
      <c r="B957">
        <v>12</v>
      </c>
      <c r="C957" t="s">
        <v>44</v>
      </c>
      <c r="D957" t="s">
        <v>48</v>
      </c>
      <c r="E957" t="s">
        <v>56</v>
      </c>
      <c r="F957">
        <v>71157.14</v>
      </c>
    </row>
    <row r="958" spans="1:6" x14ac:dyDescent="0.3">
      <c r="A958">
        <v>2023</v>
      </c>
      <c r="B958">
        <v>12</v>
      </c>
      <c r="C958" t="s">
        <v>45</v>
      </c>
      <c r="D958" t="s">
        <v>48</v>
      </c>
      <c r="E958" t="s">
        <v>56</v>
      </c>
      <c r="F958">
        <v>75334.13</v>
      </c>
    </row>
    <row r="959" spans="1:6" x14ac:dyDescent="0.3">
      <c r="A959">
        <v>2023</v>
      </c>
      <c r="B959">
        <v>12</v>
      </c>
      <c r="C959" t="s">
        <v>37</v>
      </c>
      <c r="D959" t="s">
        <v>57</v>
      </c>
      <c r="E959" t="s">
        <v>58</v>
      </c>
      <c r="F959">
        <v>56359.13</v>
      </c>
    </row>
    <row r="960" spans="1:6" x14ac:dyDescent="0.3">
      <c r="A960">
        <v>2023</v>
      </c>
      <c r="B960">
        <v>12</v>
      </c>
      <c r="C960" t="s">
        <v>37</v>
      </c>
      <c r="D960" t="s">
        <v>57</v>
      </c>
      <c r="E960" t="s">
        <v>59</v>
      </c>
      <c r="F960">
        <v>87808.78</v>
      </c>
    </row>
    <row r="961" spans="1:6" x14ac:dyDescent="0.3">
      <c r="A961">
        <v>2023</v>
      </c>
      <c r="B961">
        <v>12</v>
      </c>
      <c r="C961" t="s">
        <v>37</v>
      </c>
      <c r="D961" t="s">
        <v>57</v>
      </c>
      <c r="E961" t="s">
        <v>60</v>
      </c>
      <c r="F961">
        <v>28471.27</v>
      </c>
    </row>
    <row r="962" spans="1:6" x14ac:dyDescent="0.3">
      <c r="A962">
        <v>2024</v>
      </c>
      <c r="B962">
        <v>1</v>
      </c>
      <c r="C962" t="s">
        <v>37</v>
      </c>
      <c r="D962" t="s">
        <v>38</v>
      </c>
      <c r="E962" t="s">
        <v>39</v>
      </c>
      <c r="F962">
        <v>85483.36</v>
      </c>
    </row>
    <row r="963" spans="1:6" x14ac:dyDescent="0.3">
      <c r="A963">
        <v>2024</v>
      </c>
      <c r="B963">
        <v>1</v>
      </c>
      <c r="C963" t="s">
        <v>40</v>
      </c>
      <c r="D963" t="s">
        <v>38</v>
      </c>
      <c r="E963" t="s">
        <v>39</v>
      </c>
      <c r="F963">
        <v>23844.57</v>
      </c>
    </row>
    <row r="964" spans="1:6" x14ac:dyDescent="0.3">
      <c r="A964">
        <v>2024</v>
      </c>
      <c r="B964">
        <v>1</v>
      </c>
      <c r="C964" t="s">
        <v>41</v>
      </c>
      <c r="D964" t="s">
        <v>38</v>
      </c>
      <c r="E964" t="s">
        <v>39</v>
      </c>
      <c r="F964">
        <v>21904.77</v>
      </c>
    </row>
    <row r="965" spans="1:6" x14ac:dyDescent="0.3">
      <c r="A965">
        <v>2024</v>
      </c>
      <c r="B965">
        <v>1</v>
      </c>
      <c r="C965" t="s">
        <v>42</v>
      </c>
      <c r="D965" t="s">
        <v>38</v>
      </c>
      <c r="E965" t="s">
        <v>39</v>
      </c>
      <c r="F965">
        <v>42687.15</v>
      </c>
    </row>
    <row r="966" spans="1:6" x14ac:dyDescent="0.3">
      <c r="A966">
        <v>2024</v>
      </c>
      <c r="B966">
        <v>1</v>
      </c>
      <c r="C966" t="s">
        <v>43</v>
      </c>
      <c r="D966" t="s">
        <v>38</v>
      </c>
      <c r="E966" t="s">
        <v>39</v>
      </c>
      <c r="F966">
        <v>90706.97</v>
      </c>
    </row>
    <row r="967" spans="1:6" x14ac:dyDescent="0.3">
      <c r="A967">
        <v>2024</v>
      </c>
      <c r="B967">
        <v>1</v>
      </c>
      <c r="C967" t="s">
        <v>44</v>
      </c>
      <c r="D967" t="s">
        <v>38</v>
      </c>
      <c r="E967" t="s">
        <v>39</v>
      </c>
      <c r="F967">
        <v>75823.7</v>
      </c>
    </row>
    <row r="968" spans="1:6" x14ac:dyDescent="0.3">
      <c r="A968">
        <v>2024</v>
      </c>
      <c r="B968">
        <v>1</v>
      </c>
      <c r="C968" t="s">
        <v>45</v>
      </c>
      <c r="D968" t="s">
        <v>38</v>
      </c>
      <c r="E968" t="s">
        <v>39</v>
      </c>
      <c r="F968">
        <v>57366.720000000001</v>
      </c>
    </row>
    <row r="969" spans="1:6" x14ac:dyDescent="0.3">
      <c r="A969">
        <v>2024</v>
      </c>
      <c r="B969">
        <v>1</v>
      </c>
      <c r="C969" t="s">
        <v>37</v>
      </c>
      <c r="D969" t="s">
        <v>38</v>
      </c>
      <c r="E969" t="s">
        <v>46</v>
      </c>
      <c r="F969">
        <v>119224.74</v>
      </c>
    </row>
    <row r="970" spans="1:6" x14ac:dyDescent="0.3">
      <c r="A970">
        <v>2024</v>
      </c>
      <c r="B970">
        <v>1</v>
      </c>
      <c r="C970" t="s">
        <v>40</v>
      </c>
      <c r="D970" t="s">
        <v>38</v>
      </c>
      <c r="E970" t="s">
        <v>46</v>
      </c>
      <c r="F970">
        <v>27283.15</v>
      </c>
    </row>
    <row r="971" spans="1:6" x14ac:dyDescent="0.3">
      <c r="A971">
        <v>2024</v>
      </c>
      <c r="B971">
        <v>1</v>
      </c>
      <c r="C971" t="s">
        <v>41</v>
      </c>
      <c r="D971" t="s">
        <v>38</v>
      </c>
      <c r="E971" t="s">
        <v>46</v>
      </c>
      <c r="F971">
        <v>23127.51</v>
      </c>
    </row>
    <row r="972" spans="1:6" x14ac:dyDescent="0.3">
      <c r="A972">
        <v>2024</v>
      </c>
      <c r="B972">
        <v>1</v>
      </c>
      <c r="C972" t="s">
        <v>42</v>
      </c>
      <c r="D972" t="s">
        <v>38</v>
      </c>
      <c r="E972" t="s">
        <v>46</v>
      </c>
      <c r="F972">
        <v>68928.42</v>
      </c>
    </row>
    <row r="973" spans="1:6" x14ac:dyDescent="0.3">
      <c r="A973">
        <v>2024</v>
      </c>
      <c r="B973">
        <v>1</v>
      </c>
      <c r="C973" t="s">
        <v>43</v>
      </c>
      <c r="D973" t="s">
        <v>38</v>
      </c>
      <c r="E973" t="s">
        <v>46</v>
      </c>
      <c r="F973">
        <v>98250.4</v>
      </c>
    </row>
    <row r="974" spans="1:6" x14ac:dyDescent="0.3">
      <c r="A974">
        <v>2024</v>
      </c>
      <c r="B974">
        <v>1</v>
      </c>
      <c r="C974" t="s">
        <v>44</v>
      </c>
      <c r="D974" t="s">
        <v>38</v>
      </c>
      <c r="E974" t="s">
        <v>46</v>
      </c>
      <c r="F974">
        <v>103829.5</v>
      </c>
    </row>
    <row r="975" spans="1:6" x14ac:dyDescent="0.3">
      <c r="A975">
        <v>2024</v>
      </c>
      <c r="B975">
        <v>1</v>
      </c>
      <c r="C975" t="s">
        <v>45</v>
      </c>
      <c r="D975" t="s">
        <v>38</v>
      </c>
      <c r="E975" t="s">
        <v>46</v>
      </c>
      <c r="F975">
        <v>121610.61</v>
      </c>
    </row>
    <row r="976" spans="1:6" x14ac:dyDescent="0.3">
      <c r="A976">
        <v>2024</v>
      </c>
      <c r="B976">
        <v>1</v>
      </c>
      <c r="C976" t="s">
        <v>37</v>
      </c>
      <c r="D976" t="s">
        <v>38</v>
      </c>
      <c r="E976" t="s">
        <v>47</v>
      </c>
      <c r="F976">
        <v>98213.49</v>
      </c>
    </row>
    <row r="977" spans="1:6" x14ac:dyDescent="0.3">
      <c r="A977">
        <v>2024</v>
      </c>
      <c r="B977">
        <v>1</v>
      </c>
      <c r="C977" t="s">
        <v>40</v>
      </c>
      <c r="D977" t="s">
        <v>38</v>
      </c>
      <c r="E977" t="s">
        <v>47</v>
      </c>
      <c r="F977">
        <v>100161.9</v>
      </c>
    </row>
    <row r="978" spans="1:6" x14ac:dyDescent="0.3">
      <c r="A978">
        <v>2024</v>
      </c>
      <c r="B978">
        <v>1</v>
      </c>
      <c r="C978" t="s">
        <v>41</v>
      </c>
      <c r="D978" t="s">
        <v>38</v>
      </c>
      <c r="E978" t="s">
        <v>47</v>
      </c>
      <c r="F978">
        <v>28535.16</v>
      </c>
    </row>
    <row r="979" spans="1:6" x14ac:dyDescent="0.3">
      <c r="A979">
        <v>2024</v>
      </c>
      <c r="B979">
        <v>1</v>
      </c>
      <c r="C979" t="s">
        <v>42</v>
      </c>
      <c r="D979" t="s">
        <v>38</v>
      </c>
      <c r="E979" t="s">
        <v>47</v>
      </c>
      <c r="F979">
        <v>20189.62</v>
      </c>
    </row>
    <row r="980" spans="1:6" x14ac:dyDescent="0.3">
      <c r="A980">
        <v>2024</v>
      </c>
      <c r="B980">
        <v>1</v>
      </c>
      <c r="C980" t="s">
        <v>43</v>
      </c>
      <c r="D980" t="s">
        <v>38</v>
      </c>
      <c r="E980" t="s">
        <v>47</v>
      </c>
      <c r="F980">
        <v>89520.13</v>
      </c>
    </row>
    <row r="981" spans="1:6" x14ac:dyDescent="0.3">
      <c r="A981">
        <v>2024</v>
      </c>
      <c r="B981">
        <v>1</v>
      </c>
      <c r="C981" t="s">
        <v>44</v>
      </c>
      <c r="D981" t="s">
        <v>38</v>
      </c>
      <c r="E981" t="s">
        <v>47</v>
      </c>
      <c r="F981">
        <v>27576.29</v>
      </c>
    </row>
    <row r="982" spans="1:6" x14ac:dyDescent="0.3">
      <c r="A982">
        <v>2024</v>
      </c>
      <c r="B982">
        <v>1</v>
      </c>
      <c r="C982" t="s">
        <v>45</v>
      </c>
      <c r="D982" t="s">
        <v>38</v>
      </c>
      <c r="E982" t="s">
        <v>47</v>
      </c>
      <c r="F982">
        <v>116769.79</v>
      </c>
    </row>
    <row r="983" spans="1:6" x14ac:dyDescent="0.3">
      <c r="A983">
        <v>2024</v>
      </c>
      <c r="B983">
        <v>1</v>
      </c>
      <c r="C983" t="s">
        <v>37</v>
      </c>
      <c r="D983" t="s">
        <v>48</v>
      </c>
      <c r="E983" t="s">
        <v>49</v>
      </c>
      <c r="F983">
        <v>120955.35</v>
      </c>
    </row>
    <row r="984" spans="1:6" x14ac:dyDescent="0.3">
      <c r="A984">
        <v>2024</v>
      </c>
      <c r="B984">
        <v>1</v>
      </c>
      <c r="C984" t="s">
        <v>40</v>
      </c>
      <c r="D984" t="s">
        <v>48</v>
      </c>
      <c r="E984" t="s">
        <v>49</v>
      </c>
      <c r="F984">
        <v>129228.73</v>
      </c>
    </row>
    <row r="985" spans="1:6" x14ac:dyDescent="0.3">
      <c r="A985">
        <v>2024</v>
      </c>
      <c r="B985">
        <v>1</v>
      </c>
      <c r="C985" t="s">
        <v>41</v>
      </c>
      <c r="D985" t="s">
        <v>48</v>
      </c>
      <c r="E985" t="s">
        <v>49</v>
      </c>
      <c r="F985">
        <v>42595.61</v>
      </c>
    </row>
    <row r="986" spans="1:6" x14ac:dyDescent="0.3">
      <c r="A986">
        <v>2024</v>
      </c>
      <c r="B986">
        <v>1</v>
      </c>
      <c r="C986" t="s">
        <v>42</v>
      </c>
      <c r="D986" t="s">
        <v>48</v>
      </c>
      <c r="E986" t="s">
        <v>49</v>
      </c>
      <c r="F986">
        <v>83373.59</v>
      </c>
    </row>
    <row r="987" spans="1:6" x14ac:dyDescent="0.3">
      <c r="A987">
        <v>2024</v>
      </c>
      <c r="B987">
        <v>1</v>
      </c>
      <c r="C987" t="s">
        <v>43</v>
      </c>
      <c r="D987" t="s">
        <v>48</v>
      </c>
      <c r="E987" t="s">
        <v>49</v>
      </c>
      <c r="F987">
        <v>102724.89</v>
      </c>
    </row>
    <row r="988" spans="1:6" x14ac:dyDescent="0.3">
      <c r="A988">
        <v>2024</v>
      </c>
      <c r="B988">
        <v>1</v>
      </c>
      <c r="C988" t="s">
        <v>44</v>
      </c>
      <c r="D988" t="s">
        <v>48</v>
      </c>
      <c r="E988" t="s">
        <v>49</v>
      </c>
      <c r="F988">
        <v>102677.88</v>
      </c>
    </row>
    <row r="989" spans="1:6" x14ac:dyDescent="0.3">
      <c r="A989">
        <v>2024</v>
      </c>
      <c r="B989">
        <v>1</v>
      </c>
      <c r="C989" t="s">
        <v>45</v>
      </c>
      <c r="D989" t="s">
        <v>48</v>
      </c>
      <c r="E989" t="s">
        <v>49</v>
      </c>
      <c r="F989">
        <v>11568.74</v>
      </c>
    </row>
    <row r="990" spans="1:6" x14ac:dyDescent="0.3">
      <c r="A990">
        <v>2024</v>
      </c>
      <c r="B990">
        <v>1</v>
      </c>
      <c r="C990" t="s">
        <v>37</v>
      </c>
      <c r="D990" t="s">
        <v>48</v>
      </c>
      <c r="E990" t="s">
        <v>50</v>
      </c>
      <c r="F990">
        <v>27975.35</v>
      </c>
    </row>
    <row r="991" spans="1:6" x14ac:dyDescent="0.3">
      <c r="A991">
        <v>2024</v>
      </c>
      <c r="B991">
        <v>1</v>
      </c>
      <c r="C991" t="s">
        <v>40</v>
      </c>
      <c r="D991" t="s">
        <v>48</v>
      </c>
      <c r="E991" t="s">
        <v>50</v>
      </c>
      <c r="F991">
        <v>14802.04</v>
      </c>
    </row>
    <row r="992" spans="1:6" x14ac:dyDescent="0.3">
      <c r="A992">
        <v>2024</v>
      </c>
      <c r="B992">
        <v>1</v>
      </c>
      <c r="C992" t="s">
        <v>41</v>
      </c>
      <c r="D992" t="s">
        <v>48</v>
      </c>
      <c r="E992" t="s">
        <v>50</v>
      </c>
      <c r="F992">
        <v>68145.94</v>
      </c>
    </row>
    <row r="993" spans="1:6" x14ac:dyDescent="0.3">
      <c r="A993">
        <v>2024</v>
      </c>
      <c r="B993">
        <v>1</v>
      </c>
      <c r="C993" t="s">
        <v>42</v>
      </c>
      <c r="D993" t="s">
        <v>48</v>
      </c>
      <c r="E993" t="s">
        <v>50</v>
      </c>
      <c r="F993">
        <v>89031.19</v>
      </c>
    </row>
    <row r="994" spans="1:6" x14ac:dyDescent="0.3">
      <c r="A994">
        <v>2024</v>
      </c>
      <c r="B994">
        <v>1</v>
      </c>
      <c r="C994" t="s">
        <v>43</v>
      </c>
      <c r="D994" t="s">
        <v>48</v>
      </c>
      <c r="E994" t="s">
        <v>50</v>
      </c>
      <c r="F994">
        <v>112767.51</v>
      </c>
    </row>
    <row r="995" spans="1:6" x14ac:dyDescent="0.3">
      <c r="A995">
        <v>2024</v>
      </c>
      <c r="B995">
        <v>1</v>
      </c>
      <c r="C995" t="s">
        <v>44</v>
      </c>
      <c r="D995" t="s">
        <v>48</v>
      </c>
      <c r="E995" t="s">
        <v>50</v>
      </c>
      <c r="F995">
        <v>98593.53</v>
      </c>
    </row>
    <row r="996" spans="1:6" x14ac:dyDescent="0.3">
      <c r="A996">
        <v>2024</v>
      </c>
      <c r="B996">
        <v>1</v>
      </c>
      <c r="C996" t="s">
        <v>45</v>
      </c>
      <c r="D996" t="s">
        <v>48</v>
      </c>
      <c r="E996" t="s">
        <v>50</v>
      </c>
      <c r="F996">
        <v>89013.57</v>
      </c>
    </row>
    <row r="997" spans="1:6" x14ac:dyDescent="0.3">
      <c r="A997">
        <v>2024</v>
      </c>
      <c r="B997">
        <v>1</v>
      </c>
      <c r="C997" t="s">
        <v>37</v>
      </c>
      <c r="D997" t="s">
        <v>48</v>
      </c>
      <c r="E997" t="s">
        <v>51</v>
      </c>
      <c r="F997">
        <v>26344.03</v>
      </c>
    </row>
    <row r="998" spans="1:6" x14ac:dyDescent="0.3">
      <c r="A998">
        <v>2024</v>
      </c>
      <c r="B998">
        <v>1</v>
      </c>
      <c r="C998" t="s">
        <v>40</v>
      </c>
      <c r="D998" t="s">
        <v>48</v>
      </c>
      <c r="E998" t="s">
        <v>51</v>
      </c>
      <c r="F998">
        <v>44881.41</v>
      </c>
    </row>
    <row r="999" spans="1:6" x14ac:dyDescent="0.3">
      <c r="A999">
        <v>2024</v>
      </c>
      <c r="B999">
        <v>1</v>
      </c>
      <c r="C999" t="s">
        <v>41</v>
      </c>
      <c r="D999" t="s">
        <v>48</v>
      </c>
      <c r="E999" t="s">
        <v>51</v>
      </c>
      <c r="F999">
        <v>65331.59</v>
      </c>
    </row>
    <row r="1000" spans="1:6" x14ac:dyDescent="0.3">
      <c r="A1000">
        <v>2024</v>
      </c>
      <c r="B1000">
        <v>1</v>
      </c>
      <c r="C1000" t="s">
        <v>42</v>
      </c>
      <c r="D1000" t="s">
        <v>48</v>
      </c>
      <c r="E1000" t="s">
        <v>51</v>
      </c>
      <c r="F1000">
        <v>28683.56</v>
      </c>
    </row>
    <row r="1001" spans="1:6" x14ac:dyDescent="0.3">
      <c r="A1001">
        <v>2024</v>
      </c>
      <c r="B1001">
        <v>1</v>
      </c>
      <c r="C1001" t="s">
        <v>43</v>
      </c>
      <c r="D1001" t="s">
        <v>48</v>
      </c>
      <c r="E1001" t="s">
        <v>51</v>
      </c>
      <c r="F1001">
        <v>26122.04</v>
      </c>
    </row>
    <row r="1002" spans="1:6" x14ac:dyDescent="0.3">
      <c r="A1002">
        <v>2024</v>
      </c>
      <c r="B1002">
        <v>1</v>
      </c>
      <c r="C1002" t="s">
        <v>44</v>
      </c>
      <c r="D1002" t="s">
        <v>48</v>
      </c>
      <c r="E1002" t="s">
        <v>51</v>
      </c>
      <c r="F1002">
        <v>63699.839999999997</v>
      </c>
    </row>
    <row r="1003" spans="1:6" x14ac:dyDescent="0.3">
      <c r="A1003">
        <v>2024</v>
      </c>
      <c r="B1003">
        <v>1</v>
      </c>
      <c r="C1003" t="s">
        <v>45</v>
      </c>
      <c r="D1003" t="s">
        <v>48</v>
      </c>
      <c r="E1003" t="s">
        <v>51</v>
      </c>
      <c r="F1003">
        <v>116068.04</v>
      </c>
    </row>
    <row r="1004" spans="1:6" x14ac:dyDescent="0.3">
      <c r="A1004">
        <v>2024</v>
      </c>
      <c r="B1004">
        <v>1</v>
      </c>
      <c r="C1004" t="s">
        <v>37</v>
      </c>
      <c r="D1004" t="s">
        <v>48</v>
      </c>
      <c r="E1004" t="s">
        <v>52</v>
      </c>
      <c r="F1004">
        <v>70502.45</v>
      </c>
    </row>
    <row r="1005" spans="1:6" x14ac:dyDescent="0.3">
      <c r="A1005">
        <v>2024</v>
      </c>
      <c r="B1005">
        <v>1</v>
      </c>
      <c r="C1005" t="s">
        <v>40</v>
      </c>
      <c r="D1005" t="s">
        <v>48</v>
      </c>
      <c r="E1005" t="s">
        <v>52</v>
      </c>
      <c r="F1005">
        <v>99757.29</v>
      </c>
    </row>
    <row r="1006" spans="1:6" x14ac:dyDescent="0.3">
      <c r="A1006">
        <v>2024</v>
      </c>
      <c r="B1006">
        <v>1</v>
      </c>
      <c r="C1006" t="s">
        <v>41</v>
      </c>
      <c r="D1006" t="s">
        <v>48</v>
      </c>
      <c r="E1006" t="s">
        <v>52</v>
      </c>
      <c r="F1006">
        <v>99478.85</v>
      </c>
    </row>
    <row r="1007" spans="1:6" x14ac:dyDescent="0.3">
      <c r="A1007">
        <v>2024</v>
      </c>
      <c r="B1007">
        <v>1</v>
      </c>
      <c r="C1007" t="s">
        <v>42</v>
      </c>
      <c r="D1007" t="s">
        <v>48</v>
      </c>
      <c r="E1007" t="s">
        <v>52</v>
      </c>
      <c r="F1007">
        <v>24334.07</v>
      </c>
    </row>
    <row r="1008" spans="1:6" x14ac:dyDescent="0.3">
      <c r="A1008">
        <v>2024</v>
      </c>
      <c r="B1008">
        <v>1</v>
      </c>
      <c r="C1008" t="s">
        <v>43</v>
      </c>
      <c r="D1008" t="s">
        <v>48</v>
      </c>
      <c r="E1008" t="s">
        <v>52</v>
      </c>
      <c r="F1008">
        <v>42659.99</v>
      </c>
    </row>
    <row r="1009" spans="1:6" x14ac:dyDescent="0.3">
      <c r="A1009">
        <v>2024</v>
      </c>
      <c r="B1009">
        <v>1</v>
      </c>
      <c r="C1009" t="s">
        <v>44</v>
      </c>
      <c r="D1009" t="s">
        <v>48</v>
      </c>
      <c r="E1009" t="s">
        <v>52</v>
      </c>
      <c r="F1009">
        <v>15368.39</v>
      </c>
    </row>
    <row r="1010" spans="1:6" x14ac:dyDescent="0.3">
      <c r="A1010">
        <v>2024</v>
      </c>
      <c r="B1010">
        <v>1</v>
      </c>
      <c r="C1010" t="s">
        <v>45</v>
      </c>
      <c r="D1010" t="s">
        <v>48</v>
      </c>
      <c r="E1010" t="s">
        <v>52</v>
      </c>
      <c r="F1010">
        <v>13624.69</v>
      </c>
    </row>
    <row r="1011" spans="1:6" x14ac:dyDescent="0.3">
      <c r="A1011">
        <v>2024</v>
      </c>
      <c r="B1011">
        <v>1</v>
      </c>
      <c r="C1011" t="s">
        <v>37</v>
      </c>
      <c r="D1011" t="s">
        <v>48</v>
      </c>
      <c r="E1011" t="s">
        <v>53</v>
      </c>
      <c r="F1011">
        <v>45641.97</v>
      </c>
    </row>
    <row r="1012" spans="1:6" x14ac:dyDescent="0.3">
      <c r="A1012">
        <v>2024</v>
      </c>
      <c r="B1012">
        <v>1</v>
      </c>
      <c r="C1012" t="s">
        <v>40</v>
      </c>
      <c r="D1012" t="s">
        <v>48</v>
      </c>
      <c r="E1012" t="s">
        <v>53</v>
      </c>
      <c r="F1012">
        <v>22037.33</v>
      </c>
    </row>
    <row r="1013" spans="1:6" x14ac:dyDescent="0.3">
      <c r="A1013">
        <v>2024</v>
      </c>
      <c r="B1013">
        <v>1</v>
      </c>
      <c r="C1013" t="s">
        <v>41</v>
      </c>
      <c r="D1013" t="s">
        <v>48</v>
      </c>
      <c r="E1013" t="s">
        <v>53</v>
      </c>
      <c r="F1013">
        <v>91948.89</v>
      </c>
    </row>
    <row r="1014" spans="1:6" x14ac:dyDescent="0.3">
      <c r="A1014">
        <v>2024</v>
      </c>
      <c r="B1014">
        <v>1</v>
      </c>
      <c r="C1014" t="s">
        <v>42</v>
      </c>
      <c r="D1014" t="s">
        <v>48</v>
      </c>
      <c r="E1014" t="s">
        <v>53</v>
      </c>
      <c r="F1014">
        <v>100440.49</v>
      </c>
    </row>
    <row r="1015" spans="1:6" x14ac:dyDescent="0.3">
      <c r="A1015">
        <v>2024</v>
      </c>
      <c r="B1015">
        <v>1</v>
      </c>
      <c r="C1015" t="s">
        <v>43</v>
      </c>
      <c r="D1015" t="s">
        <v>48</v>
      </c>
      <c r="E1015" t="s">
        <v>53</v>
      </c>
      <c r="F1015">
        <v>37804.199999999997</v>
      </c>
    </row>
    <row r="1016" spans="1:6" x14ac:dyDescent="0.3">
      <c r="A1016">
        <v>2024</v>
      </c>
      <c r="B1016">
        <v>1</v>
      </c>
      <c r="C1016" t="s">
        <v>44</v>
      </c>
      <c r="D1016" t="s">
        <v>48</v>
      </c>
      <c r="E1016" t="s">
        <v>53</v>
      </c>
      <c r="F1016">
        <v>105898.45</v>
      </c>
    </row>
    <row r="1017" spans="1:6" x14ac:dyDescent="0.3">
      <c r="A1017">
        <v>2024</v>
      </c>
      <c r="B1017">
        <v>1</v>
      </c>
      <c r="C1017" t="s">
        <v>45</v>
      </c>
      <c r="D1017" t="s">
        <v>48</v>
      </c>
      <c r="E1017" t="s">
        <v>53</v>
      </c>
      <c r="F1017">
        <v>45750.06</v>
      </c>
    </row>
    <row r="1018" spans="1:6" x14ac:dyDescent="0.3">
      <c r="A1018">
        <v>2024</v>
      </c>
      <c r="B1018">
        <v>1</v>
      </c>
      <c r="C1018" t="s">
        <v>37</v>
      </c>
      <c r="D1018" t="s">
        <v>48</v>
      </c>
      <c r="E1018" t="s">
        <v>54</v>
      </c>
      <c r="F1018">
        <v>42609.39</v>
      </c>
    </row>
    <row r="1019" spans="1:6" x14ac:dyDescent="0.3">
      <c r="A1019">
        <v>2024</v>
      </c>
      <c r="B1019">
        <v>1</v>
      </c>
      <c r="C1019" t="s">
        <v>40</v>
      </c>
      <c r="D1019" t="s">
        <v>48</v>
      </c>
      <c r="E1019" t="s">
        <v>54</v>
      </c>
      <c r="F1019">
        <v>41806.53</v>
      </c>
    </row>
    <row r="1020" spans="1:6" x14ac:dyDescent="0.3">
      <c r="A1020">
        <v>2024</v>
      </c>
      <c r="B1020">
        <v>1</v>
      </c>
      <c r="C1020" t="s">
        <v>41</v>
      </c>
      <c r="D1020" t="s">
        <v>48</v>
      </c>
      <c r="E1020" t="s">
        <v>54</v>
      </c>
      <c r="F1020">
        <v>122902.39999999999</v>
      </c>
    </row>
    <row r="1021" spans="1:6" x14ac:dyDescent="0.3">
      <c r="A1021">
        <v>2024</v>
      </c>
      <c r="B1021">
        <v>1</v>
      </c>
      <c r="C1021" t="s">
        <v>42</v>
      </c>
      <c r="D1021" t="s">
        <v>48</v>
      </c>
      <c r="E1021" t="s">
        <v>54</v>
      </c>
      <c r="F1021">
        <v>29440.23</v>
      </c>
    </row>
    <row r="1022" spans="1:6" x14ac:dyDescent="0.3">
      <c r="A1022">
        <v>2024</v>
      </c>
      <c r="B1022">
        <v>1</v>
      </c>
      <c r="C1022" t="s">
        <v>43</v>
      </c>
      <c r="D1022" t="s">
        <v>48</v>
      </c>
      <c r="E1022" t="s">
        <v>54</v>
      </c>
      <c r="F1022">
        <v>114575.8</v>
      </c>
    </row>
    <row r="1023" spans="1:6" x14ac:dyDescent="0.3">
      <c r="A1023">
        <v>2024</v>
      </c>
      <c r="B1023">
        <v>1</v>
      </c>
      <c r="C1023" t="s">
        <v>44</v>
      </c>
      <c r="D1023" t="s">
        <v>48</v>
      </c>
      <c r="E1023" t="s">
        <v>54</v>
      </c>
      <c r="F1023">
        <v>93281.19</v>
      </c>
    </row>
    <row r="1024" spans="1:6" x14ac:dyDescent="0.3">
      <c r="A1024">
        <v>2024</v>
      </c>
      <c r="B1024">
        <v>1</v>
      </c>
      <c r="C1024" t="s">
        <v>45</v>
      </c>
      <c r="D1024" t="s">
        <v>48</v>
      </c>
      <c r="E1024" t="s">
        <v>54</v>
      </c>
      <c r="F1024">
        <v>58549.35</v>
      </c>
    </row>
    <row r="1025" spans="1:6" x14ac:dyDescent="0.3">
      <c r="A1025">
        <v>2024</v>
      </c>
      <c r="B1025">
        <v>1</v>
      </c>
      <c r="C1025" t="s">
        <v>37</v>
      </c>
      <c r="D1025" t="s">
        <v>48</v>
      </c>
      <c r="E1025" t="s">
        <v>55</v>
      </c>
      <c r="F1025">
        <v>26169.31</v>
      </c>
    </row>
    <row r="1026" spans="1:6" x14ac:dyDescent="0.3">
      <c r="A1026">
        <v>2024</v>
      </c>
      <c r="B1026">
        <v>1</v>
      </c>
      <c r="C1026" t="s">
        <v>40</v>
      </c>
      <c r="D1026" t="s">
        <v>48</v>
      </c>
      <c r="E1026" t="s">
        <v>55</v>
      </c>
      <c r="F1026">
        <v>32394.36</v>
      </c>
    </row>
    <row r="1027" spans="1:6" x14ac:dyDescent="0.3">
      <c r="A1027">
        <v>2024</v>
      </c>
      <c r="B1027">
        <v>1</v>
      </c>
      <c r="C1027" t="s">
        <v>41</v>
      </c>
      <c r="D1027" t="s">
        <v>48</v>
      </c>
      <c r="E1027" t="s">
        <v>55</v>
      </c>
      <c r="F1027">
        <v>9538.8700000000008</v>
      </c>
    </row>
    <row r="1028" spans="1:6" x14ac:dyDescent="0.3">
      <c r="A1028">
        <v>2024</v>
      </c>
      <c r="B1028">
        <v>1</v>
      </c>
      <c r="C1028" t="s">
        <v>42</v>
      </c>
      <c r="D1028" t="s">
        <v>48</v>
      </c>
      <c r="E1028" t="s">
        <v>55</v>
      </c>
      <c r="F1028">
        <v>27241.05</v>
      </c>
    </row>
    <row r="1029" spans="1:6" x14ac:dyDescent="0.3">
      <c r="A1029">
        <v>2024</v>
      </c>
      <c r="B1029">
        <v>1</v>
      </c>
      <c r="C1029" t="s">
        <v>43</v>
      </c>
      <c r="D1029" t="s">
        <v>48</v>
      </c>
      <c r="E1029" t="s">
        <v>55</v>
      </c>
      <c r="F1029">
        <v>52596.24</v>
      </c>
    </row>
    <row r="1030" spans="1:6" x14ac:dyDescent="0.3">
      <c r="A1030">
        <v>2024</v>
      </c>
      <c r="B1030">
        <v>1</v>
      </c>
      <c r="C1030" t="s">
        <v>44</v>
      </c>
      <c r="D1030" t="s">
        <v>48</v>
      </c>
      <c r="E1030" t="s">
        <v>55</v>
      </c>
      <c r="F1030">
        <v>114453.41</v>
      </c>
    </row>
    <row r="1031" spans="1:6" x14ac:dyDescent="0.3">
      <c r="A1031">
        <v>2024</v>
      </c>
      <c r="B1031">
        <v>1</v>
      </c>
      <c r="C1031" t="s">
        <v>45</v>
      </c>
      <c r="D1031" t="s">
        <v>48</v>
      </c>
      <c r="E1031" t="s">
        <v>55</v>
      </c>
      <c r="F1031">
        <v>41613.300000000003</v>
      </c>
    </row>
    <row r="1032" spans="1:6" x14ac:dyDescent="0.3">
      <c r="A1032">
        <v>2024</v>
      </c>
      <c r="B1032">
        <v>1</v>
      </c>
      <c r="C1032" t="s">
        <v>37</v>
      </c>
      <c r="D1032" t="s">
        <v>48</v>
      </c>
      <c r="E1032" t="s">
        <v>56</v>
      </c>
      <c r="F1032">
        <v>33680.769999999997</v>
      </c>
    </row>
    <row r="1033" spans="1:6" x14ac:dyDescent="0.3">
      <c r="A1033">
        <v>2024</v>
      </c>
      <c r="B1033">
        <v>1</v>
      </c>
      <c r="C1033" t="s">
        <v>40</v>
      </c>
      <c r="D1033" t="s">
        <v>48</v>
      </c>
      <c r="E1033" t="s">
        <v>56</v>
      </c>
      <c r="F1033">
        <v>15289.36</v>
      </c>
    </row>
    <row r="1034" spans="1:6" x14ac:dyDescent="0.3">
      <c r="A1034">
        <v>2024</v>
      </c>
      <c r="B1034">
        <v>1</v>
      </c>
      <c r="C1034" t="s">
        <v>41</v>
      </c>
      <c r="D1034" t="s">
        <v>48</v>
      </c>
      <c r="E1034" t="s">
        <v>56</v>
      </c>
      <c r="F1034">
        <v>37385.370000000003</v>
      </c>
    </row>
    <row r="1035" spans="1:6" x14ac:dyDescent="0.3">
      <c r="A1035">
        <v>2024</v>
      </c>
      <c r="B1035">
        <v>1</v>
      </c>
      <c r="C1035" t="s">
        <v>42</v>
      </c>
      <c r="D1035" t="s">
        <v>48</v>
      </c>
      <c r="E1035" t="s">
        <v>56</v>
      </c>
      <c r="F1035">
        <v>90127.98</v>
      </c>
    </row>
    <row r="1036" spans="1:6" x14ac:dyDescent="0.3">
      <c r="A1036">
        <v>2024</v>
      </c>
      <c r="B1036">
        <v>1</v>
      </c>
      <c r="C1036" t="s">
        <v>43</v>
      </c>
      <c r="D1036" t="s">
        <v>48</v>
      </c>
      <c r="E1036" t="s">
        <v>56</v>
      </c>
      <c r="F1036">
        <v>109421.78</v>
      </c>
    </row>
    <row r="1037" spans="1:6" x14ac:dyDescent="0.3">
      <c r="A1037">
        <v>2024</v>
      </c>
      <c r="B1037">
        <v>1</v>
      </c>
      <c r="C1037" t="s">
        <v>44</v>
      </c>
      <c r="D1037" t="s">
        <v>48</v>
      </c>
      <c r="E1037" t="s">
        <v>56</v>
      </c>
      <c r="F1037">
        <v>69874.14</v>
      </c>
    </row>
    <row r="1038" spans="1:6" x14ac:dyDescent="0.3">
      <c r="A1038">
        <v>2024</v>
      </c>
      <c r="B1038">
        <v>1</v>
      </c>
      <c r="C1038" t="s">
        <v>45</v>
      </c>
      <c r="D1038" t="s">
        <v>48</v>
      </c>
      <c r="E1038" t="s">
        <v>56</v>
      </c>
      <c r="F1038">
        <v>81161.19</v>
      </c>
    </row>
    <row r="1039" spans="1:6" x14ac:dyDescent="0.3">
      <c r="A1039">
        <v>2024</v>
      </c>
      <c r="B1039">
        <v>1</v>
      </c>
      <c r="C1039" t="s">
        <v>37</v>
      </c>
      <c r="D1039" t="s">
        <v>57</v>
      </c>
      <c r="E1039" t="s">
        <v>58</v>
      </c>
      <c r="F1039">
        <v>155726.73000000001</v>
      </c>
    </row>
    <row r="1040" spans="1:6" x14ac:dyDescent="0.3">
      <c r="A1040">
        <v>2024</v>
      </c>
      <c r="B1040">
        <v>1</v>
      </c>
      <c r="C1040" t="s">
        <v>37</v>
      </c>
      <c r="D1040" t="s">
        <v>57</v>
      </c>
      <c r="E1040" t="s">
        <v>59</v>
      </c>
      <c r="F1040">
        <v>29037.97</v>
      </c>
    </row>
    <row r="1041" spans="1:6" x14ac:dyDescent="0.3">
      <c r="A1041">
        <v>2024</v>
      </c>
      <c r="B1041">
        <v>1</v>
      </c>
      <c r="C1041" t="s">
        <v>37</v>
      </c>
      <c r="D1041" t="s">
        <v>57</v>
      </c>
      <c r="E1041" t="s">
        <v>60</v>
      </c>
      <c r="F1041">
        <v>66984.38</v>
      </c>
    </row>
    <row r="1042" spans="1:6" x14ac:dyDescent="0.3">
      <c r="A1042">
        <v>2024</v>
      </c>
      <c r="B1042">
        <v>2</v>
      </c>
      <c r="C1042" t="s">
        <v>37</v>
      </c>
      <c r="D1042" t="s">
        <v>38</v>
      </c>
      <c r="E1042" t="s">
        <v>39</v>
      </c>
      <c r="F1042">
        <v>100572.59</v>
      </c>
    </row>
    <row r="1043" spans="1:6" x14ac:dyDescent="0.3">
      <c r="A1043">
        <v>2024</v>
      </c>
      <c r="B1043">
        <v>2</v>
      </c>
      <c r="C1043" t="s">
        <v>40</v>
      </c>
      <c r="D1043" t="s">
        <v>38</v>
      </c>
      <c r="E1043" t="s">
        <v>39</v>
      </c>
      <c r="F1043">
        <v>61109.69</v>
      </c>
    </row>
    <row r="1044" spans="1:6" x14ac:dyDescent="0.3">
      <c r="A1044">
        <v>2024</v>
      </c>
      <c r="B1044">
        <v>2</v>
      </c>
      <c r="C1044" t="s">
        <v>41</v>
      </c>
      <c r="D1044" t="s">
        <v>38</v>
      </c>
      <c r="E1044" t="s">
        <v>39</v>
      </c>
      <c r="F1044">
        <v>39186.730000000003</v>
      </c>
    </row>
    <row r="1045" spans="1:6" x14ac:dyDescent="0.3">
      <c r="A1045">
        <v>2024</v>
      </c>
      <c r="B1045">
        <v>2</v>
      </c>
      <c r="C1045" t="s">
        <v>42</v>
      </c>
      <c r="D1045" t="s">
        <v>38</v>
      </c>
      <c r="E1045" t="s">
        <v>39</v>
      </c>
      <c r="F1045">
        <v>86959.55</v>
      </c>
    </row>
    <row r="1046" spans="1:6" x14ac:dyDescent="0.3">
      <c r="A1046">
        <v>2024</v>
      </c>
      <c r="B1046">
        <v>2</v>
      </c>
      <c r="C1046" t="s">
        <v>43</v>
      </c>
      <c r="D1046" t="s">
        <v>38</v>
      </c>
      <c r="E1046" t="s">
        <v>39</v>
      </c>
      <c r="F1046">
        <v>41298.480000000003</v>
      </c>
    </row>
    <row r="1047" spans="1:6" x14ac:dyDescent="0.3">
      <c r="A1047">
        <v>2024</v>
      </c>
      <c r="B1047">
        <v>2</v>
      </c>
      <c r="C1047" t="s">
        <v>44</v>
      </c>
      <c r="D1047" t="s">
        <v>38</v>
      </c>
      <c r="E1047" t="s">
        <v>39</v>
      </c>
      <c r="F1047">
        <v>9231.7800000000007</v>
      </c>
    </row>
    <row r="1048" spans="1:6" x14ac:dyDescent="0.3">
      <c r="A1048">
        <v>2024</v>
      </c>
      <c r="B1048">
        <v>2</v>
      </c>
      <c r="C1048" t="s">
        <v>45</v>
      </c>
      <c r="D1048" t="s">
        <v>38</v>
      </c>
      <c r="E1048" t="s">
        <v>39</v>
      </c>
      <c r="F1048">
        <v>78018.63</v>
      </c>
    </row>
    <row r="1049" spans="1:6" x14ac:dyDescent="0.3">
      <c r="A1049">
        <v>2024</v>
      </c>
      <c r="B1049">
        <v>2</v>
      </c>
      <c r="C1049" t="s">
        <v>37</v>
      </c>
      <c r="D1049" t="s">
        <v>38</v>
      </c>
      <c r="E1049" t="s">
        <v>46</v>
      </c>
      <c r="F1049">
        <v>86852.21</v>
      </c>
    </row>
    <row r="1050" spans="1:6" x14ac:dyDescent="0.3">
      <c r="A1050">
        <v>2024</v>
      </c>
      <c r="B1050">
        <v>2</v>
      </c>
      <c r="C1050" t="s">
        <v>40</v>
      </c>
      <c r="D1050" t="s">
        <v>38</v>
      </c>
      <c r="E1050" t="s">
        <v>46</v>
      </c>
      <c r="F1050">
        <v>141050.49</v>
      </c>
    </row>
    <row r="1051" spans="1:6" x14ac:dyDescent="0.3">
      <c r="A1051">
        <v>2024</v>
      </c>
      <c r="B1051">
        <v>2</v>
      </c>
      <c r="C1051" t="s">
        <v>41</v>
      </c>
      <c r="D1051" t="s">
        <v>38</v>
      </c>
      <c r="E1051" t="s">
        <v>46</v>
      </c>
      <c r="F1051">
        <v>91610.89</v>
      </c>
    </row>
    <row r="1052" spans="1:6" x14ac:dyDescent="0.3">
      <c r="A1052">
        <v>2024</v>
      </c>
      <c r="B1052">
        <v>2</v>
      </c>
      <c r="C1052" t="s">
        <v>42</v>
      </c>
      <c r="D1052" t="s">
        <v>38</v>
      </c>
      <c r="E1052" t="s">
        <v>46</v>
      </c>
      <c r="F1052">
        <v>52917.18</v>
      </c>
    </row>
    <row r="1053" spans="1:6" x14ac:dyDescent="0.3">
      <c r="A1053">
        <v>2024</v>
      </c>
      <c r="B1053">
        <v>2</v>
      </c>
      <c r="C1053" t="s">
        <v>43</v>
      </c>
      <c r="D1053" t="s">
        <v>38</v>
      </c>
      <c r="E1053" t="s">
        <v>46</v>
      </c>
      <c r="F1053">
        <v>58666.57</v>
      </c>
    </row>
    <row r="1054" spans="1:6" x14ac:dyDescent="0.3">
      <c r="A1054">
        <v>2024</v>
      </c>
      <c r="B1054">
        <v>2</v>
      </c>
      <c r="C1054" t="s">
        <v>44</v>
      </c>
      <c r="D1054" t="s">
        <v>38</v>
      </c>
      <c r="E1054" t="s">
        <v>46</v>
      </c>
      <c r="F1054">
        <v>90751.14</v>
      </c>
    </row>
    <row r="1055" spans="1:6" x14ac:dyDescent="0.3">
      <c r="A1055">
        <v>2024</v>
      </c>
      <c r="B1055">
        <v>2</v>
      </c>
      <c r="C1055" t="s">
        <v>45</v>
      </c>
      <c r="D1055" t="s">
        <v>38</v>
      </c>
      <c r="E1055" t="s">
        <v>46</v>
      </c>
      <c r="F1055">
        <v>108387.41</v>
      </c>
    </row>
    <row r="1056" spans="1:6" x14ac:dyDescent="0.3">
      <c r="A1056">
        <v>2024</v>
      </c>
      <c r="B1056">
        <v>2</v>
      </c>
      <c r="C1056" t="s">
        <v>37</v>
      </c>
      <c r="D1056" t="s">
        <v>38</v>
      </c>
      <c r="E1056" t="s">
        <v>47</v>
      </c>
      <c r="F1056">
        <v>70142.78</v>
      </c>
    </row>
    <row r="1057" spans="1:6" x14ac:dyDescent="0.3">
      <c r="A1057">
        <v>2024</v>
      </c>
      <c r="B1057">
        <v>2</v>
      </c>
      <c r="C1057" t="s">
        <v>40</v>
      </c>
      <c r="D1057" t="s">
        <v>38</v>
      </c>
      <c r="E1057" t="s">
        <v>47</v>
      </c>
      <c r="F1057">
        <v>48696</v>
      </c>
    </row>
    <row r="1058" spans="1:6" x14ac:dyDescent="0.3">
      <c r="A1058">
        <v>2024</v>
      </c>
      <c r="B1058">
        <v>2</v>
      </c>
      <c r="C1058" t="s">
        <v>41</v>
      </c>
      <c r="D1058" t="s">
        <v>38</v>
      </c>
      <c r="E1058" t="s">
        <v>47</v>
      </c>
      <c r="F1058">
        <v>55577.05</v>
      </c>
    </row>
    <row r="1059" spans="1:6" x14ac:dyDescent="0.3">
      <c r="A1059">
        <v>2024</v>
      </c>
      <c r="B1059">
        <v>2</v>
      </c>
      <c r="C1059" t="s">
        <v>42</v>
      </c>
      <c r="D1059" t="s">
        <v>38</v>
      </c>
      <c r="E1059" t="s">
        <v>47</v>
      </c>
      <c r="F1059">
        <v>54456.32</v>
      </c>
    </row>
    <row r="1060" spans="1:6" x14ac:dyDescent="0.3">
      <c r="A1060">
        <v>2024</v>
      </c>
      <c r="B1060">
        <v>2</v>
      </c>
      <c r="C1060" t="s">
        <v>43</v>
      </c>
      <c r="D1060" t="s">
        <v>38</v>
      </c>
      <c r="E1060" t="s">
        <v>47</v>
      </c>
      <c r="F1060">
        <v>33062.04</v>
      </c>
    </row>
    <row r="1061" spans="1:6" x14ac:dyDescent="0.3">
      <c r="A1061">
        <v>2024</v>
      </c>
      <c r="B1061">
        <v>2</v>
      </c>
      <c r="C1061" t="s">
        <v>44</v>
      </c>
      <c r="D1061" t="s">
        <v>38</v>
      </c>
      <c r="E1061" t="s">
        <v>47</v>
      </c>
      <c r="F1061">
        <v>18971.990000000002</v>
      </c>
    </row>
    <row r="1062" spans="1:6" x14ac:dyDescent="0.3">
      <c r="A1062">
        <v>2024</v>
      </c>
      <c r="B1062">
        <v>2</v>
      </c>
      <c r="C1062" t="s">
        <v>45</v>
      </c>
      <c r="D1062" t="s">
        <v>38</v>
      </c>
      <c r="E1062" t="s">
        <v>47</v>
      </c>
      <c r="F1062">
        <v>29244.6</v>
      </c>
    </row>
    <row r="1063" spans="1:6" x14ac:dyDescent="0.3">
      <c r="A1063">
        <v>2024</v>
      </c>
      <c r="B1063">
        <v>2</v>
      </c>
      <c r="C1063" t="s">
        <v>37</v>
      </c>
      <c r="D1063" t="s">
        <v>48</v>
      </c>
      <c r="E1063" t="s">
        <v>49</v>
      </c>
      <c r="F1063">
        <v>43537.37</v>
      </c>
    </row>
    <row r="1064" spans="1:6" x14ac:dyDescent="0.3">
      <c r="A1064">
        <v>2024</v>
      </c>
      <c r="B1064">
        <v>2</v>
      </c>
      <c r="C1064" t="s">
        <v>40</v>
      </c>
      <c r="D1064" t="s">
        <v>48</v>
      </c>
      <c r="E1064" t="s">
        <v>49</v>
      </c>
      <c r="F1064">
        <v>85413.72</v>
      </c>
    </row>
    <row r="1065" spans="1:6" x14ac:dyDescent="0.3">
      <c r="A1065">
        <v>2024</v>
      </c>
      <c r="B1065">
        <v>2</v>
      </c>
      <c r="C1065" t="s">
        <v>41</v>
      </c>
      <c r="D1065" t="s">
        <v>48</v>
      </c>
      <c r="E1065" t="s">
        <v>49</v>
      </c>
      <c r="F1065">
        <v>81896.800000000003</v>
      </c>
    </row>
    <row r="1066" spans="1:6" x14ac:dyDescent="0.3">
      <c r="A1066">
        <v>2024</v>
      </c>
      <c r="B1066">
        <v>2</v>
      </c>
      <c r="C1066" t="s">
        <v>42</v>
      </c>
      <c r="D1066" t="s">
        <v>48</v>
      </c>
      <c r="E1066" t="s">
        <v>49</v>
      </c>
      <c r="F1066">
        <v>126198.29</v>
      </c>
    </row>
    <row r="1067" spans="1:6" x14ac:dyDescent="0.3">
      <c r="A1067">
        <v>2024</v>
      </c>
      <c r="B1067">
        <v>2</v>
      </c>
      <c r="C1067" t="s">
        <v>43</v>
      </c>
      <c r="D1067" t="s">
        <v>48</v>
      </c>
      <c r="E1067" t="s">
        <v>49</v>
      </c>
      <c r="F1067">
        <v>29631.43</v>
      </c>
    </row>
    <row r="1068" spans="1:6" x14ac:dyDescent="0.3">
      <c r="A1068">
        <v>2024</v>
      </c>
      <c r="B1068">
        <v>2</v>
      </c>
      <c r="C1068" t="s">
        <v>44</v>
      </c>
      <c r="D1068" t="s">
        <v>48</v>
      </c>
      <c r="E1068" t="s">
        <v>49</v>
      </c>
      <c r="F1068">
        <v>58106.58</v>
      </c>
    </row>
    <row r="1069" spans="1:6" x14ac:dyDescent="0.3">
      <c r="A1069">
        <v>2024</v>
      </c>
      <c r="B1069">
        <v>2</v>
      </c>
      <c r="C1069" t="s">
        <v>45</v>
      </c>
      <c r="D1069" t="s">
        <v>48</v>
      </c>
      <c r="E1069" t="s">
        <v>49</v>
      </c>
      <c r="F1069">
        <v>72840.259999999995</v>
      </c>
    </row>
    <row r="1070" spans="1:6" x14ac:dyDescent="0.3">
      <c r="A1070">
        <v>2024</v>
      </c>
      <c r="B1070">
        <v>2</v>
      </c>
      <c r="C1070" t="s">
        <v>37</v>
      </c>
      <c r="D1070" t="s">
        <v>48</v>
      </c>
      <c r="E1070" t="s">
        <v>50</v>
      </c>
      <c r="F1070">
        <v>130065.38</v>
      </c>
    </row>
    <row r="1071" spans="1:6" x14ac:dyDescent="0.3">
      <c r="A1071">
        <v>2024</v>
      </c>
      <c r="B1071">
        <v>2</v>
      </c>
      <c r="C1071" t="s">
        <v>40</v>
      </c>
      <c r="D1071" t="s">
        <v>48</v>
      </c>
      <c r="E1071" t="s">
        <v>50</v>
      </c>
      <c r="F1071">
        <v>72688.22</v>
      </c>
    </row>
    <row r="1072" spans="1:6" x14ac:dyDescent="0.3">
      <c r="A1072">
        <v>2024</v>
      </c>
      <c r="B1072">
        <v>2</v>
      </c>
      <c r="C1072" t="s">
        <v>41</v>
      </c>
      <c r="D1072" t="s">
        <v>48</v>
      </c>
      <c r="E1072" t="s">
        <v>50</v>
      </c>
      <c r="F1072">
        <v>68509.8</v>
      </c>
    </row>
    <row r="1073" spans="1:6" x14ac:dyDescent="0.3">
      <c r="A1073">
        <v>2024</v>
      </c>
      <c r="B1073">
        <v>2</v>
      </c>
      <c r="C1073" t="s">
        <v>42</v>
      </c>
      <c r="D1073" t="s">
        <v>48</v>
      </c>
      <c r="E1073" t="s">
        <v>50</v>
      </c>
      <c r="F1073">
        <v>93367.7</v>
      </c>
    </row>
    <row r="1074" spans="1:6" x14ac:dyDescent="0.3">
      <c r="A1074">
        <v>2024</v>
      </c>
      <c r="B1074">
        <v>2</v>
      </c>
      <c r="C1074" t="s">
        <v>43</v>
      </c>
      <c r="D1074" t="s">
        <v>48</v>
      </c>
      <c r="E1074" t="s">
        <v>50</v>
      </c>
      <c r="F1074">
        <v>73740.009999999995</v>
      </c>
    </row>
    <row r="1075" spans="1:6" x14ac:dyDescent="0.3">
      <c r="A1075">
        <v>2024</v>
      </c>
      <c r="B1075">
        <v>2</v>
      </c>
      <c r="C1075" t="s">
        <v>44</v>
      </c>
      <c r="D1075" t="s">
        <v>48</v>
      </c>
      <c r="E1075" t="s">
        <v>50</v>
      </c>
      <c r="F1075">
        <v>68223.56</v>
      </c>
    </row>
    <row r="1076" spans="1:6" x14ac:dyDescent="0.3">
      <c r="A1076">
        <v>2024</v>
      </c>
      <c r="B1076">
        <v>2</v>
      </c>
      <c r="C1076" t="s">
        <v>45</v>
      </c>
      <c r="D1076" t="s">
        <v>48</v>
      </c>
      <c r="E1076" t="s">
        <v>50</v>
      </c>
      <c r="F1076">
        <v>77785.600000000006</v>
      </c>
    </row>
    <row r="1077" spans="1:6" x14ac:dyDescent="0.3">
      <c r="A1077">
        <v>2024</v>
      </c>
      <c r="B1077">
        <v>2</v>
      </c>
      <c r="C1077" t="s">
        <v>37</v>
      </c>
      <c r="D1077" t="s">
        <v>48</v>
      </c>
      <c r="E1077" t="s">
        <v>51</v>
      </c>
      <c r="F1077">
        <v>63946.559999999998</v>
      </c>
    </row>
    <row r="1078" spans="1:6" x14ac:dyDescent="0.3">
      <c r="A1078">
        <v>2024</v>
      </c>
      <c r="B1078">
        <v>2</v>
      </c>
      <c r="C1078" t="s">
        <v>40</v>
      </c>
      <c r="D1078" t="s">
        <v>48</v>
      </c>
      <c r="E1078" t="s">
        <v>51</v>
      </c>
      <c r="F1078">
        <v>46235.6</v>
      </c>
    </row>
    <row r="1079" spans="1:6" x14ac:dyDescent="0.3">
      <c r="A1079">
        <v>2024</v>
      </c>
      <c r="B1079">
        <v>2</v>
      </c>
      <c r="C1079" t="s">
        <v>41</v>
      </c>
      <c r="D1079" t="s">
        <v>48</v>
      </c>
      <c r="E1079" t="s">
        <v>51</v>
      </c>
      <c r="F1079">
        <v>64103.12</v>
      </c>
    </row>
    <row r="1080" spans="1:6" x14ac:dyDescent="0.3">
      <c r="A1080">
        <v>2024</v>
      </c>
      <c r="B1080">
        <v>2</v>
      </c>
      <c r="C1080" t="s">
        <v>42</v>
      </c>
      <c r="D1080" t="s">
        <v>48</v>
      </c>
      <c r="E1080" t="s">
        <v>51</v>
      </c>
      <c r="F1080">
        <v>76649.539999999994</v>
      </c>
    </row>
    <row r="1081" spans="1:6" x14ac:dyDescent="0.3">
      <c r="A1081">
        <v>2024</v>
      </c>
      <c r="B1081">
        <v>2</v>
      </c>
      <c r="C1081" t="s">
        <v>43</v>
      </c>
      <c r="D1081" t="s">
        <v>48</v>
      </c>
      <c r="E1081" t="s">
        <v>51</v>
      </c>
      <c r="F1081">
        <v>103312.1</v>
      </c>
    </row>
    <row r="1082" spans="1:6" x14ac:dyDescent="0.3">
      <c r="A1082">
        <v>2024</v>
      </c>
      <c r="B1082">
        <v>2</v>
      </c>
      <c r="C1082" t="s">
        <v>44</v>
      </c>
      <c r="D1082" t="s">
        <v>48</v>
      </c>
      <c r="E1082" t="s">
        <v>51</v>
      </c>
      <c r="F1082">
        <v>56938.42</v>
      </c>
    </row>
    <row r="1083" spans="1:6" x14ac:dyDescent="0.3">
      <c r="A1083">
        <v>2024</v>
      </c>
      <c r="B1083">
        <v>2</v>
      </c>
      <c r="C1083" t="s">
        <v>45</v>
      </c>
      <c r="D1083" t="s">
        <v>48</v>
      </c>
      <c r="E1083" t="s">
        <v>51</v>
      </c>
      <c r="F1083">
        <v>88122.61</v>
      </c>
    </row>
    <row r="1084" spans="1:6" x14ac:dyDescent="0.3">
      <c r="A1084">
        <v>2024</v>
      </c>
      <c r="B1084">
        <v>2</v>
      </c>
      <c r="C1084" t="s">
        <v>37</v>
      </c>
      <c r="D1084" t="s">
        <v>48</v>
      </c>
      <c r="E1084" t="s">
        <v>52</v>
      </c>
      <c r="F1084">
        <v>11040.15</v>
      </c>
    </row>
    <row r="1085" spans="1:6" x14ac:dyDescent="0.3">
      <c r="A1085">
        <v>2024</v>
      </c>
      <c r="B1085">
        <v>2</v>
      </c>
      <c r="C1085" t="s">
        <v>40</v>
      </c>
      <c r="D1085" t="s">
        <v>48</v>
      </c>
      <c r="E1085" t="s">
        <v>52</v>
      </c>
      <c r="F1085">
        <v>21770.42</v>
      </c>
    </row>
    <row r="1086" spans="1:6" x14ac:dyDescent="0.3">
      <c r="A1086">
        <v>2024</v>
      </c>
      <c r="B1086">
        <v>2</v>
      </c>
      <c r="C1086" t="s">
        <v>41</v>
      </c>
      <c r="D1086" t="s">
        <v>48</v>
      </c>
      <c r="E1086" t="s">
        <v>52</v>
      </c>
      <c r="F1086">
        <v>65783.67</v>
      </c>
    </row>
    <row r="1087" spans="1:6" x14ac:dyDescent="0.3">
      <c r="A1087">
        <v>2024</v>
      </c>
      <c r="B1087">
        <v>2</v>
      </c>
      <c r="C1087" t="s">
        <v>42</v>
      </c>
      <c r="D1087" t="s">
        <v>48</v>
      </c>
      <c r="E1087" t="s">
        <v>52</v>
      </c>
      <c r="F1087">
        <v>97891.66</v>
      </c>
    </row>
    <row r="1088" spans="1:6" x14ac:dyDescent="0.3">
      <c r="A1088">
        <v>2024</v>
      </c>
      <c r="B1088">
        <v>2</v>
      </c>
      <c r="C1088" t="s">
        <v>43</v>
      </c>
      <c r="D1088" t="s">
        <v>48</v>
      </c>
      <c r="E1088" t="s">
        <v>52</v>
      </c>
      <c r="F1088">
        <v>45352.47</v>
      </c>
    </row>
    <row r="1089" spans="1:6" x14ac:dyDescent="0.3">
      <c r="A1089">
        <v>2024</v>
      </c>
      <c r="B1089">
        <v>2</v>
      </c>
      <c r="C1089" t="s">
        <v>44</v>
      </c>
      <c r="D1089" t="s">
        <v>48</v>
      </c>
      <c r="E1089" t="s">
        <v>52</v>
      </c>
      <c r="F1089">
        <v>114103.54</v>
      </c>
    </row>
    <row r="1090" spans="1:6" x14ac:dyDescent="0.3">
      <c r="A1090">
        <v>2024</v>
      </c>
      <c r="B1090">
        <v>2</v>
      </c>
      <c r="C1090" t="s">
        <v>45</v>
      </c>
      <c r="D1090" t="s">
        <v>48</v>
      </c>
      <c r="E1090" t="s">
        <v>52</v>
      </c>
      <c r="F1090">
        <v>98567.16</v>
      </c>
    </row>
    <row r="1091" spans="1:6" x14ac:dyDescent="0.3">
      <c r="A1091">
        <v>2024</v>
      </c>
      <c r="B1091">
        <v>2</v>
      </c>
      <c r="C1091" t="s">
        <v>37</v>
      </c>
      <c r="D1091" t="s">
        <v>48</v>
      </c>
      <c r="E1091" t="s">
        <v>53</v>
      </c>
      <c r="F1091">
        <v>105009.23</v>
      </c>
    </row>
    <row r="1092" spans="1:6" x14ac:dyDescent="0.3">
      <c r="A1092">
        <v>2024</v>
      </c>
      <c r="B1092">
        <v>2</v>
      </c>
      <c r="C1092" t="s">
        <v>40</v>
      </c>
      <c r="D1092" t="s">
        <v>48</v>
      </c>
      <c r="E1092" t="s">
        <v>53</v>
      </c>
      <c r="F1092">
        <v>85987.48</v>
      </c>
    </row>
    <row r="1093" spans="1:6" x14ac:dyDescent="0.3">
      <c r="A1093">
        <v>2024</v>
      </c>
      <c r="B1093">
        <v>2</v>
      </c>
      <c r="C1093" t="s">
        <v>41</v>
      </c>
      <c r="D1093" t="s">
        <v>48</v>
      </c>
      <c r="E1093" t="s">
        <v>53</v>
      </c>
      <c r="F1093">
        <v>40294.31</v>
      </c>
    </row>
    <row r="1094" spans="1:6" x14ac:dyDescent="0.3">
      <c r="A1094">
        <v>2024</v>
      </c>
      <c r="B1094">
        <v>2</v>
      </c>
      <c r="C1094" t="s">
        <v>42</v>
      </c>
      <c r="D1094" t="s">
        <v>48</v>
      </c>
      <c r="E1094" t="s">
        <v>53</v>
      </c>
      <c r="F1094">
        <v>116037.24</v>
      </c>
    </row>
    <row r="1095" spans="1:6" x14ac:dyDescent="0.3">
      <c r="A1095">
        <v>2024</v>
      </c>
      <c r="B1095">
        <v>2</v>
      </c>
      <c r="C1095" t="s">
        <v>43</v>
      </c>
      <c r="D1095" t="s">
        <v>48</v>
      </c>
      <c r="E1095" t="s">
        <v>53</v>
      </c>
      <c r="F1095">
        <v>23606.35</v>
      </c>
    </row>
    <row r="1096" spans="1:6" x14ac:dyDescent="0.3">
      <c r="A1096">
        <v>2024</v>
      </c>
      <c r="B1096">
        <v>2</v>
      </c>
      <c r="C1096" t="s">
        <v>44</v>
      </c>
      <c r="D1096" t="s">
        <v>48</v>
      </c>
      <c r="E1096" t="s">
        <v>53</v>
      </c>
      <c r="F1096">
        <v>77712.08</v>
      </c>
    </row>
    <row r="1097" spans="1:6" x14ac:dyDescent="0.3">
      <c r="A1097">
        <v>2024</v>
      </c>
      <c r="B1097">
        <v>2</v>
      </c>
      <c r="C1097" t="s">
        <v>45</v>
      </c>
      <c r="D1097" t="s">
        <v>48</v>
      </c>
      <c r="E1097" t="s">
        <v>53</v>
      </c>
      <c r="F1097">
        <v>120090.11</v>
      </c>
    </row>
    <row r="1098" spans="1:6" x14ac:dyDescent="0.3">
      <c r="A1098">
        <v>2024</v>
      </c>
      <c r="B1098">
        <v>2</v>
      </c>
      <c r="C1098" t="s">
        <v>37</v>
      </c>
      <c r="D1098" t="s">
        <v>48</v>
      </c>
      <c r="E1098" t="s">
        <v>54</v>
      </c>
      <c r="F1098">
        <v>79475</v>
      </c>
    </row>
    <row r="1099" spans="1:6" x14ac:dyDescent="0.3">
      <c r="A1099">
        <v>2024</v>
      </c>
      <c r="B1099">
        <v>2</v>
      </c>
      <c r="C1099" t="s">
        <v>40</v>
      </c>
      <c r="D1099" t="s">
        <v>48</v>
      </c>
      <c r="E1099" t="s">
        <v>54</v>
      </c>
      <c r="F1099">
        <v>14138.96</v>
      </c>
    </row>
    <row r="1100" spans="1:6" x14ac:dyDescent="0.3">
      <c r="A1100">
        <v>2024</v>
      </c>
      <c r="B1100">
        <v>2</v>
      </c>
      <c r="C1100" t="s">
        <v>41</v>
      </c>
      <c r="D1100" t="s">
        <v>48</v>
      </c>
      <c r="E1100" t="s">
        <v>54</v>
      </c>
      <c r="F1100">
        <v>139617.31</v>
      </c>
    </row>
    <row r="1101" spans="1:6" x14ac:dyDescent="0.3">
      <c r="A1101">
        <v>2024</v>
      </c>
      <c r="B1101">
        <v>2</v>
      </c>
      <c r="C1101" t="s">
        <v>42</v>
      </c>
      <c r="D1101" t="s">
        <v>48</v>
      </c>
      <c r="E1101" t="s">
        <v>54</v>
      </c>
      <c r="F1101">
        <v>101124.02</v>
      </c>
    </row>
    <row r="1102" spans="1:6" x14ac:dyDescent="0.3">
      <c r="A1102">
        <v>2024</v>
      </c>
      <c r="B1102">
        <v>2</v>
      </c>
      <c r="C1102" t="s">
        <v>43</v>
      </c>
      <c r="D1102" t="s">
        <v>48</v>
      </c>
      <c r="E1102" t="s">
        <v>54</v>
      </c>
      <c r="F1102">
        <v>32358.91</v>
      </c>
    </row>
    <row r="1103" spans="1:6" x14ac:dyDescent="0.3">
      <c r="A1103">
        <v>2024</v>
      </c>
      <c r="B1103">
        <v>2</v>
      </c>
      <c r="C1103" t="s">
        <v>44</v>
      </c>
      <c r="D1103" t="s">
        <v>48</v>
      </c>
      <c r="E1103" t="s">
        <v>54</v>
      </c>
      <c r="F1103">
        <v>80670.69</v>
      </c>
    </row>
    <row r="1104" spans="1:6" x14ac:dyDescent="0.3">
      <c r="A1104">
        <v>2024</v>
      </c>
      <c r="B1104">
        <v>2</v>
      </c>
      <c r="C1104" t="s">
        <v>45</v>
      </c>
      <c r="D1104" t="s">
        <v>48</v>
      </c>
      <c r="E1104" t="s">
        <v>54</v>
      </c>
      <c r="F1104">
        <v>72101.11</v>
      </c>
    </row>
    <row r="1105" spans="1:6" x14ac:dyDescent="0.3">
      <c r="A1105">
        <v>2024</v>
      </c>
      <c r="B1105">
        <v>2</v>
      </c>
      <c r="C1105" t="s">
        <v>37</v>
      </c>
      <c r="D1105" t="s">
        <v>48</v>
      </c>
      <c r="E1105" t="s">
        <v>55</v>
      </c>
      <c r="F1105">
        <v>14684.87</v>
      </c>
    </row>
    <row r="1106" spans="1:6" x14ac:dyDescent="0.3">
      <c r="A1106">
        <v>2024</v>
      </c>
      <c r="B1106">
        <v>2</v>
      </c>
      <c r="C1106" t="s">
        <v>40</v>
      </c>
      <c r="D1106" t="s">
        <v>48</v>
      </c>
      <c r="E1106" t="s">
        <v>55</v>
      </c>
      <c r="F1106">
        <v>100377.95</v>
      </c>
    </row>
    <row r="1107" spans="1:6" x14ac:dyDescent="0.3">
      <c r="A1107">
        <v>2024</v>
      </c>
      <c r="B1107">
        <v>2</v>
      </c>
      <c r="C1107" t="s">
        <v>41</v>
      </c>
      <c r="D1107" t="s">
        <v>48</v>
      </c>
      <c r="E1107" t="s">
        <v>55</v>
      </c>
      <c r="F1107">
        <v>32934.61</v>
      </c>
    </row>
    <row r="1108" spans="1:6" x14ac:dyDescent="0.3">
      <c r="A1108">
        <v>2024</v>
      </c>
      <c r="B1108">
        <v>2</v>
      </c>
      <c r="C1108" t="s">
        <v>42</v>
      </c>
      <c r="D1108" t="s">
        <v>48</v>
      </c>
      <c r="E1108" t="s">
        <v>55</v>
      </c>
      <c r="F1108">
        <v>100916.25</v>
      </c>
    </row>
    <row r="1109" spans="1:6" x14ac:dyDescent="0.3">
      <c r="A1109">
        <v>2024</v>
      </c>
      <c r="B1109">
        <v>2</v>
      </c>
      <c r="C1109" t="s">
        <v>43</v>
      </c>
      <c r="D1109" t="s">
        <v>48</v>
      </c>
      <c r="E1109" t="s">
        <v>55</v>
      </c>
      <c r="F1109">
        <v>49341.23</v>
      </c>
    </row>
    <row r="1110" spans="1:6" x14ac:dyDescent="0.3">
      <c r="A1110">
        <v>2024</v>
      </c>
      <c r="B1110">
        <v>2</v>
      </c>
      <c r="C1110" t="s">
        <v>44</v>
      </c>
      <c r="D1110" t="s">
        <v>48</v>
      </c>
      <c r="E1110" t="s">
        <v>55</v>
      </c>
      <c r="F1110">
        <v>139508.94</v>
      </c>
    </row>
    <row r="1111" spans="1:6" x14ac:dyDescent="0.3">
      <c r="A1111">
        <v>2024</v>
      </c>
      <c r="B1111">
        <v>2</v>
      </c>
      <c r="C1111" t="s">
        <v>45</v>
      </c>
      <c r="D1111" t="s">
        <v>48</v>
      </c>
      <c r="E1111" t="s">
        <v>55</v>
      </c>
      <c r="F1111">
        <v>61549.66</v>
      </c>
    </row>
    <row r="1112" spans="1:6" x14ac:dyDescent="0.3">
      <c r="A1112">
        <v>2024</v>
      </c>
      <c r="B1112">
        <v>2</v>
      </c>
      <c r="C1112" t="s">
        <v>37</v>
      </c>
      <c r="D1112" t="s">
        <v>48</v>
      </c>
      <c r="E1112" t="s">
        <v>56</v>
      </c>
      <c r="F1112">
        <v>57814.43</v>
      </c>
    </row>
    <row r="1113" spans="1:6" x14ac:dyDescent="0.3">
      <c r="A1113">
        <v>2024</v>
      </c>
      <c r="B1113">
        <v>2</v>
      </c>
      <c r="C1113" t="s">
        <v>40</v>
      </c>
      <c r="D1113" t="s">
        <v>48</v>
      </c>
      <c r="E1113" t="s">
        <v>56</v>
      </c>
      <c r="F1113">
        <v>35630.71</v>
      </c>
    </row>
    <row r="1114" spans="1:6" x14ac:dyDescent="0.3">
      <c r="A1114">
        <v>2024</v>
      </c>
      <c r="B1114">
        <v>2</v>
      </c>
      <c r="C1114" t="s">
        <v>41</v>
      </c>
      <c r="D1114" t="s">
        <v>48</v>
      </c>
      <c r="E1114" t="s">
        <v>56</v>
      </c>
      <c r="F1114">
        <v>78543.97</v>
      </c>
    </row>
    <row r="1115" spans="1:6" x14ac:dyDescent="0.3">
      <c r="A1115">
        <v>2024</v>
      </c>
      <c r="B1115">
        <v>2</v>
      </c>
      <c r="C1115" t="s">
        <v>42</v>
      </c>
      <c r="D1115" t="s">
        <v>48</v>
      </c>
      <c r="E1115" t="s">
        <v>56</v>
      </c>
      <c r="F1115">
        <v>19602.7</v>
      </c>
    </row>
    <row r="1116" spans="1:6" x14ac:dyDescent="0.3">
      <c r="A1116">
        <v>2024</v>
      </c>
      <c r="B1116">
        <v>2</v>
      </c>
      <c r="C1116" t="s">
        <v>43</v>
      </c>
      <c r="D1116" t="s">
        <v>48</v>
      </c>
      <c r="E1116" t="s">
        <v>56</v>
      </c>
      <c r="F1116">
        <v>19802.259999999998</v>
      </c>
    </row>
    <row r="1117" spans="1:6" x14ac:dyDescent="0.3">
      <c r="A1117">
        <v>2024</v>
      </c>
      <c r="B1117">
        <v>2</v>
      </c>
      <c r="C1117" t="s">
        <v>44</v>
      </c>
      <c r="D1117" t="s">
        <v>48</v>
      </c>
      <c r="E1117" t="s">
        <v>56</v>
      </c>
      <c r="F1117">
        <v>111200.92</v>
      </c>
    </row>
    <row r="1118" spans="1:6" x14ac:dyDescent="0.3">
      <c r="A1118">
        <v>2024</v>
      </c>
      <c r="B1118">
        <v>2</v>
      </c>
      <c r="C1118" t="s">
        <v>45</v>
      </c>
      <c r="D1118" t="s">
        <v>48</v>
      </c>
      <c r="E1118" t="s">
        <v>56</v>
      </c>
      <c r="F1118">
        <v>10979.85</v>
      </c>
    </row>
    <row r="1119" spans="1:6" x14ac:dyDescent="0.3">
      <c r="A1119">
        <v>2024</v>
      </c>
      <c r="B1119">
        <v>2</v>
      </c>
      <c r="C1119" t="s">
        <v>37</v>
      </c>
      <c r="D1119" t="s">
        <v>57</v>
      </c>
      <c r="E1119" t="s">
        <v>58</v>
      </c>
      <c r="F1119">
        <v>189451.32</v>
      </c>
    </row>
    <row r="1120" spans="1:6" x14ac:dyDescent="0.3">
      <c r="A1120">
        <v>2024</v>
      </c>
      <c r="B1120">
        <v>2</v>
      </c>
      <c r="C1120" t="s">
        <v>37</v>
      </c>
      <c r="D1120" t="s">
        <v>57</v>
      </c>
      <c r="E1120" t="s">
        <v>59</v>
      </c>
      <c r="F1120">
        <v>81272.929999999993</v>
      </c>
    </row>
    <row r="1121" spans="1:6" x14ac:dyDescent="0.3">
      <c r="A1121">
        <v>2024</v>
      </c>
      <c r="B1121">
        <v>2</v>
      </c>
      <c r="C1121" t="s">
        <v>37</v>
      </c>
      <c r="D1121" t="s">
        <v>57</v>
      </c>
      <c r="E1121" t="s">
        <v>60</v>
      </c>
      <c r="F1121">
        <v>39707.300000000003</v>
      </c>
    </row>
    <row r="1122" spans="1:6" x14ac:dyDescent="0.3">
      <c r="A1122">
        <v>2024</v>
      </c>
      <c r="B1122">
        <v>3</v>
      </c>
      <c r="C1122" t="s">
        <v>37</v>
      </c>
      <c r="D1122" t="s">
        <v>38</v>
      </c>
      <c r="E1122" t="s">
        <v>39</v>
      </c>
      <c r="F1122">
        <v>119503.62</v>
      </c>
    </row>
    <row r="1123" spans="1:6" x14ac:dyDescent="0.3">
      <c r="A1123">
        <v>2024</v>
      </c>
      <c r="B1123">
        <v>3</v>
      </c>
      <c r="C1123" t="s">
        <v>40</v>
      </c>
      <c r="D1123" t="s">
        <v>38</v>
      </c>
      <c r="E1123" t="s">
        <v>39</v>
      </c>
      <c r="F1123">
        <v>124928.64</v>
      </c>
    </row>
    <row r="1124" spans="1:6" x14ac:dyDescent="0.3">
      <c r="A1124">
        <v>2024</v>
      </c>
      <c r="B1124">
        <v>3</v>
      </c>
      <c r="C1124" t="s">
        <v>41</v>
      </c>
      <c r="D1124" t="s">
        <v>38</v>
      </c>
      <c r="E1124" t="s">
        <v>39</v>
      </c>
      <c r="F1124">
        <v>8288.09</v>
      </c>
    </row>
    <row r="1125" spans="1:6" x14ac:dyDescent="0.3">
      <c r="A1125">
        <v>2024</v>
      </c>
      <c r="B1125">
        <v>3</v>
      </c>
      <c r="C1125" t="s">
        <v>42</v>
      </c>
      <c r="D1125" t="s">
        <v>38</v>
      </c>
      <c r="E1125" t="s">
        <v>39</v>
      </c>
      <c r="F1125">
        <v>103505.71</v>
      </c>
    </row>
    <row r="1126" spans="1:6" x14ac:dyDescent="0.3">
      <c r="A1126">
        <v>2024</v>
      </c>
      <c r="B1126">
        <v>3</v>
      </c>
      <c r="C1126" t="s">
        <v>43</v>
      </c>
      <c r="D1126" t="s">
        <v>38</v>
      </c>
      <c r="E1126" t="s">
        <v>39</v>
      </c>
      <c r="F1126">
        <v>27821.97</v>
      </c>
    </row>
    <row r="1127" spans="1:6" x14ac:dyDescent="0.3">
      <c r="A1127">
        <v>2024</v>
      </c>
      <c r="B1127">
        <v>3</v>
      </c>
      <c r="C1127" t="s">
        <v>44</v>
      </c>
      <c r="D1127" t="s">
        <v>38</v>
      </c>
      <c r="E1127" t="s">
        <v>39</v>
      </c>
      <c r="F1127">
        <v>72453.63</v>
      </c>
    </row>
    <row r="1128" spans="1:6" x14ac:dyDescent="0.3">
      <c r="A1128">
        <v>2024</v>
      </c>
      <c r="B1128">
        <v>3</v>
      </c>
      <c r="C1128" t="s">
        <v>45</v>
      </c>
      <c r="D1128" t="s">
        <v>38</v>
      </c>
      <c r="E1128" t="s">
        <v>39</v>
      </c>
      <c r="F1128">
        <v>29181.23</v>
      </c>
    </row>
    <row r="1129" spans="1:6" x14ac:dyDescent="0.3">
      <c r="A1129">
        <v>2024</v>
      </c>
      <c r="B1129">
        <v>3</v>
      </c>
      <c r="C1129" t="s">
        <v>37</v>
      </c>
      <c r="D1129" t="s">
        <v>38</v>
      </c>
      <c r="E1129" t="s">
        <v>46</v>
      </c>
      <c r="F1129">
        <v>106813.7</v>
      </c>
    </row>
    <row r="1130" spans="1:6" x14ac:dyDescent="0.3">
      <c r="A1130">
        <v>2024</v>
      </c>
      <c r="B1130">
        <v>3</v>
      </c>
      <c r="C1130" t="s">
        <v>40</v>
      </c>
      <c r="D1130" t="s">
        <v>38</v>
      </c>
      <c r="E1130" t="s">
        <v>46</v>
      </c>
      <c r="F1130">
        <v>18544.939999999999</v>
      </c>
    </row>
    <row r="1131" spans="1:6" x14ac:dyDescent="0.3">
      <c r="A1131">
        <v>2024</v>
      </c>
      <c r="B1131">
        <v>3</v>
      </c>
      <c r="C1131" t="s">
        <v>41</v>
      </c>
      <c r="D1131" t="s">
        <v>38</v>
      </c>
      <c r="E1131" t="s">
        <v>46</v>
      </c>
      <c r="F1131">
        <v>21594.59</v>
      </c>
    </row>
    <row r="1132" spans="1:6" x14ac:dyDescent="0.3">
      <c r="A1132">
        <v>2024</v>
      </c>
      <c r="B1132">
        <v>3</v>
      </c>
      <c r="C1132" t="s">
        <v>42</v>
      </c>
      <c r="D1132" t="s">
        <v>38</v>
      </c>
      <c r="E1132" t="s">
        <v>46</v>
      </c>
      <c r="F1132">
        <v>109548.69</v>
      </c>
    </row>
    <row r="1133" spans="1:6" x14ac:dyDescent="0.3">
      <c r="A1133">
        <v>2024</v>
      </c>
      <c r="B1133">
        <v>3</v>
      </c>
      <c r="C1133" t="s">
        <v>43</v>
      </c>
      <c r="D1133" t="s">
        <v>38</v>
      </c>
      <c r="E1133" t="s">
        <v>46</v>
      </c>
      <c r="F1133">
        <v>63592.52</v>
      </c>
    </row>
    <row r="1134" spans="1:6" x14ac:dyDescent="0.3">
      <c r="A1134">
        <v>2024</v>
      </c>
      <c r="B1134">
        <v>3</v>
      </c>
      <c r="C1134" t="s">
        <v>44</v>
      </c>
      <c r="D1134" t="s">
        <v>38</v>
      </c>
      <c r="E1134" t="s">
        <v>46</v>
      </c>
      <c r="F1134">
        <v>29375.69</v>
      </c>
    </row>
    <row r="1135" spans="1:6" x14ac:dyDescent="0.3">
      <c r="A1135">
        <v>2024</v>
      </c>
      <c r="B1135">
        <v>3</v>
      </c>
      <c r="C1135" t="s">
        <v>45</v>
      </c>
      <c r="D1135" t="s">
        <v>38</v>
      </c>
      <c r="E1135" t="s">
        <v>46</v>
      </c>
      <c r="F1135">
        <v>125362.13</v>
      </c>
    </row>
    <row r="1136" spans="1:6" x14ac:dyDescent="0.3">
      <c r="A1136">
        <v>2024</v>
      </c>
      <c r="B1136">
        <v>3</v>
      </c>
      <c r="C1136" t="s">
        <v>37</v>
      </c>
      <c r="D1136" t="s">
        <v>38</v>
      </c>
      <c r="E1136" t="s">
        <v>47</v>
      </c>
      <c r="F1136">
        <v>121675.73</v>
      </c>
    </row>
    <row r="1137" spans="1:6" x14ac:dyDescent="0.3">
      <c r="A1137">
        <v>2024</v>
      </c>
      <c r="B1137">
        <v>3</v>
      </c>
      <c r="C1137" t="s">
        <v>40</v>
      </c>
      <c r="D1137" t="s">
        <v>38</v>
      </c>
      <c r="E1137" t="s">
        <v>47</v>
      </c>
      <c r="F1137">
        <v>103586.79</v>
      </c>
    </row>
    <row r="1138" spans="1:6" x14ac:dyDescent="0.3">
      <c r="A1138">
        <v>2024</v>
      </c>
      <c r="B1138">
        <v>3</v>
      </c>
      <c r="C1138" t="s">
        <v>41</v>
      </c>
      <c r="D1138" t="s">
        <v>38</v>
      </c>
      <c r="E1138" t="s">
        <v>47</v>
      </c>
      <c r="F1138">
        <v>62081.53</v>
      </c>
    </row>
    <row r="1139" spans="1:6" x14ac:dyDescent="0.3">
      <c r="A1139">
        <v>2024</v>
      </c>
      <c r="B1139">
        <v>3</v>
      </c>
      <c r="C1139" t="s">
        <v>42</v>
      </c>
      <c r="D1139" t="s">
        <v>38</v>
      </c>
      <c r="E1139" t="s">
        <v>47</v>
      </c>
      <c r="F1139">
        <v>49716.94</v>
      </c>
    </row>
    <row r="1140" spans="1:6" x14ac:dyDescent="0.3">
      <c r="A1140">
        <v>2024</v>
      </c>
      <c r="B1140">
        <v>3</v>
      </c>
      <c r="C1140" t="s">
        <v>43</v>
      </c>
      <c r="D1140" t="s">
        <v>38</v>
      </c>
      <c r="E1140" t="s">
        <v>47</v>
      </c>
      <c r="F1140">
        <v>77587.039999999994</v>
      </c>
    </row>
    <row r="1141" spans="1:6" x14ac:dyDescent="0.3">
      <c r="A1141">
        <v>2024</v>
      </c>
      <c r="B1141">
        <v>3</v>
      </c>
      <c r="C1141" t="s">
        <v>44</v>
      </c>
      <c r="D1141" t="s">
        <v>38</v>
      </c>
      <c r="E1141" t="s">
        <v>47</v>
      </c>
      <c r="F1141">
        <v>57225.48</v>
      </c>
    </row>
    <row r="1142" spans="1:6" x14ac:dyDescent="0.3">
      <c r="A1142">
        <v>2024</v>
      </c>
      <c r="B1142">
        <v>3</v>
      </c>
      <c r="C1142" t="s">
        <v>45</v>
      </c>
      <c r="D1142" t="s">
        <v>38</v>
      </c>
      <c r="E1142" t="s">
        <v>47</v>
      </c>
      <c r="F1142">
        <v>97644.79</v>
      </c>
    </row>
    <row r="1143" spans="1:6" x14ac:dyDescent="0.3">
      <c r="A1143">
        <v>2024</v>
      </c>
      <c r="B1143">
        <v>3</v>
      </c>
      <c r="C1143" t="s">
        <v>37</v>
      </c>
      <c r="D1143" t="s">
        <v>48</v>
      </c>
      <c r="E1143" t="s">
        <v>49</v>
      </c>
      <c r="F1143">
        <v>16950.02</v>
      </c>
    </row>
    <row r="1144" spans="1:6" x14ac:dyDescent="0.3">
      <c r="A1144">
        <v>2024</v>
      </c>
      <c r="B1144">
        <v>3</v>
      </c>
      <c r="C1144" t="s">
        <v>40</v>
      </c>
      <c r="D1144" t="s">
        <v>48</v>
      </c>
      <c r="E1144" t="s">
        <v>49</v>
      </c>
      <c r="F1144">
        <v>89799</v>
      </c>
    </row>
    <row r="1145" spans="1:6" x14ac:dyDescent="0.3">
      <c r="A1145">
        <v>2024</v>
      </c>
      <c r="B1145">
        <v>3</v>
      </c>
      <c r="C1145" t="s">
        <v>41</v>
      </c>
      <c r="D1145" t="s">
        <v>48</v>
      </c>
      <c r="E1145" t="s">
        <v>49</v>
      </c>
      <c r="F1145">
        <v>29857.38</v>
      </c>
    </row>
    <row r="1146" spans="1:6" x14ac:dyDescent="0.3">
      <c r="A1146">
        <v>2024</v>
      </c>
      <c r="B1146">
        <v>3</v>
      </c>
      <c r="C1146" t="s">
        <v>42</v>
      </c>
      <c r="D1146" t="s">
        <v>48</v>
      </c>
      <c r="E1146" t="s">
        <v>49</v>
      </c>
      <c r="F1146">
        <v>13890.69</v>
      </c>
    </row>
    <row r="1147" spans="1:6" x14ac:dyDescent="0.3">
      <c r="A1147">
        <v>2024</v>
      </c>
      <c r="B1147">
        <v>3</v>
      </c>
      <c r="C1147" t="s">
        <v>43</v>
      </c>
      <c r="D1147" t="s">
        <v>48</v>
      </c>
      <c r="E1147" t="s">
        <v>49</v>
      </c>
      <c r="F1147">
        <v>70105.08</v>
      </c>
    </row>
    <row r="1148" spans="1:6" x14ac:dyDescent="0.3">
      <c r="A1148">
        <v>2024</v>
      </c>
      <c r="B1148">
        <v>3</v>
      </c>
      <c r="C1148" t="s">
        <v>44</v>
      </c>
      <c r="D1148" t="s">
        <v>48</v>
      </c>
      <c r="E1148" t="s">
        <v>49</v>
      </c>
      <c r="F1148">
        <v>45904.29</v>
      </c>
    </row>
    <row r="1149" spans="1:6" x14ac:dyDescent="0.3">
      <c r="A1149">
        <v>2024</v>
      </c>
      <c r="B1149">
        <v>3</v>
      </c>
      <c r="C1149" t="s">
        <v>45</v>
      </c>
      <c r="D1149" t="s">
        <v>48</v>
      </c>
      <c r="E1149" t="s">
        <v>49</v>
      </c>
      <c r="F1149">
        <v>124238.51</v>
      </c>
    </row>
    <row r="1150" spans="1:6" x14ac:dyDescent="0.3">
      <c r="A1150">
        <v>2024</v>
      </c>
      <c r="B1150">
        <v>3</v>
      </c>
      <c r="C1150" t="s">
        <v>37</v>
      </c>
      <c r="D1150" t="s">
        <v>48</v>
      </c>
      <c r="E1150" t="s">
        <v>50</v>
      </c>
      <c r="F1150">
        <v>110858.1</v>
      </c>
    </row>
    <row r="1151" spans="1:6" x14ac:dyDescent="0.3">
      <c r="A1151">
        <v>2024</v>
      </c>
      <c r="B1151">
        <v>3</v>
      </c>
      <c r="C1151" t="s">
        <v>40</v>
      </c>
      <c r="D1151" t="s">
        <v>48</v>
      </c>
      <c r="E1151" t="s">
        <v>50</v>
      </c>
      <c r="F1151">
        <v>139632.01999999999</v>
      </c>
    </row>
    <row r="1152" spans="1:6" x14ac:dyDescent="0.3">
      <c r="A1152">
        <v>2024</v>
      </c>
      <c r="B1152">
        <v>3</v>
      </c>
      <c r="C1152" t="s">
        <v>41</v>
      </c>
      <c r="D1152" t="s">
        <v>48</v>
      </c>
      <c r="E1152" t="s">
        <v>50</v>
      </c>
      <c r="F1152">
        <v>129640.38</v>
      </c>
    </row>
    <row r="1153" spans="1:6" x14ac:dyDescent="0.3">
      <c r="A1153">
        <v>2024</v>
      </c>
      <c r="B1153">
        <v>3</v>
      </c>
      <c r="C1153" t="s">
        <v>42</v>
      </c>
      <c r="D1153" t="s">
        <v>48</v>
      </c>
      <c r="E1153" t="s">
        <v>50</v>
      </c>
      <c r="F1153">
        <v>78769.42</v>
      </c>
    </row>
    <row r="1154" spans="1:6" x14ac:dyDescent="0.3">
      <c r="A1154">
        <v>2024</v>
      </c>
      <c r="B1154">
        <v>3</v>
      </c>
      <c r="C1154" t="s">
        <v>43</v>
      </c>
      <c r="D1154" t="s">
        <v>48</v>
      </c>
      <c r="E1154" t="s">
        <v>50</v>
      </c>
      <c r="F1154">
        <v>76840.67</v>
      </c>
    </row>
    <row r="1155" spans="1:6" x14ac:dyDescent="0.3">
      <c r="A1155">
        <v>2024</v>
      </c>
      <c r="B1155">
        <v>3</v>
      </c>
      <c r="C1155" t="s">
        <v>44</v>
      </c>
      <c r="D1155" t="s">
        <v>48</v>
      </c>
      <c r="E1155" t="s">
        <v>50</v>
      </c>
      <c r="F1155">
        <v>27179</v>
      </c>
    </row>
    <row r="1156" spans="1:6" x14ac:dyDescent="0.3">
      <c r="A1156">
        <v>2024</v>
      </c>
      <c r="B1156">
        <v>3</v>
      </c>
      <c r="C1156" t="s">
        <v>45</v>
      </c>
      <c r="D1156" t="s">
        <v>48</v>
      </c>
      <c r="E1156" t="s">
        <v>50</v>
      </c>
      <c r="F1156">
        <v>116913.16</v>
      </c>
    </row>
    <row r="1157" spans="1:6" x14ac:dyDescent="0.3">
      <c r="A1157">
        <v>2024</v>
      </c>
      <c r="B1157">
        <v>3</v>
      </c>
      <c r="C1157" t="s">
        <v>37</v>
      </c>
      <c r="D1157" t="s">
        <v>48</v>
      </c>
      <c r="E1157" t="s">
        <v>51</v>
      </c>
      <c r="F1157">
        <v>31529.19</v>
      </c>
    </row>
    <row r="1158" spans="1:6" x14ac:dyDescent="0.3">
      <c r="A1158">
        <v>2024</v>
      </c>
      <c r="B1158">
        <v>3</v>
      </c>
      <c r="C1158" t="s">
        <v>40</v>
      </c>
      <c r="D1158" t="s">
        <v>48</v>
      </c>
      <c r="E1158" t="s">
        <v>51</v>
      </c>
      <c r="F1158">
        <v>19454.5</v>
      </c>
    </row>
    <row r="1159" spans="1:6" x14ac:dyDescent="0.3">
      <c r="A1159">
        <v>2024</v>
      </c>
      <c r="B1159">
        <v>3</v>
      </c>
      <c r="C1159" t="s">
        <v>41</v>
      </c>
      <c r="D1159" t="s">
        <v>48</v>
      </c>
      <c r="E1159" t="s">
        <v>51</v>
      </c>
      <c r="F1159">
        <v>85888.06</v>
      </c>
    </row>
    <row r="1160" spans="1:6" x14ac:dyDescent="0.3">
      <c r="A1160">
        <v>2024</v>
      </c>
      <c r="B1160">
        <v>3</v>
      </c>
      <c r="C1160" t="s">
        <v>42</v>
      </c>
      <c r="D1160" t="s">
        <v>48</v>
      </c>
      <c r="E1160" t="s">
        <v>51</v>
      </c>
      <c r="F1160">
        <v>117088.1</v>
      </c>
    </row>
    <row r="1161" spans="1:6" x14ac:dyDescent="0.3">
      <c r="A1161">
        <v>2024</v>
      </c>
      <c r="B1161">
        <v>3</v>
      </c>
      <c r="C1161" t="s">
        <v>43</v>
      </c>
      <c r="D1161" t="s">
        <v>48</v>
      </c>
      <c r="E1161" t="s">
        <v>51</v>
      </c>
      <c r="F1161">
        <v>58793.18</v>
      </c>
    </row>
    <row r="1162" spans="1:6" x14ac:dyDescent="0.3">
      <c r="A1162">
        <v>2024</v>
      </c>
      <c r="B1162">
        <v>3</v>
      </c>
      <c r="C1162" t="s">
        <v>44</v>
      </c>
      <c r="D1162" t="s">
        <v>48</v>
      </c>
      <c r="E1162" t="s">
        <v>51</v>
      </c>
      <c r="F1162">
        <v>104993.12</v>
      </c>
    </row>
    <row r="1163" spans="1:6" x14ac:dyDescent="0.3">
      <c r="A1163">
        <v>2024</v>
      </c>
      <c r="B1163">
        <v>3</v>
      </c>
      <c r="C1163" t="s">
        <v>45</v>
      </c>
      <c r="D1163" t="s">
        <v>48</v>
      </c>
      <c r="E1163" t="s">
        <v>51</v>
      </c>
      <c r="F1163">
        <v>73417.72</v>
      </c>
    </row>
    <row r="1164" spans="1:6" x14ac:dyDescent="0.3">
      <c r="A1164">
        <v>2024</v>
      </c>
      <c r="B1164">
        <v>3</v>
      </c>
      <c r="C1164" t="s">
        <v>37</v>
      </c>
      <c r="D1164" t="s">
        <v>48</v>
      </c>
      <c r="E1164" t="s">
        <v>52</v>
      </c>
      <c r="F1164">
        <v>48696.11</v>
      </c>
    </row>
    <row r="1165" spans="1:6" x14ac:dyDescent="0.3">
      <c r="A1165">
        <v>2024</v>
      </c>
      <c r="B1165">
        <v>3</v>
      </c>
      <c r="C1165" t="s">
        <v>40</v>
      </c>
      <c r="D1165" t="s">
        <v>48</v>
      </c>
      <c r="E1165" t="s">
        <v>52</v>
      </c>
      <c r="F1165">
        <v>104515.99</v>
      </c>
    </row>
    <row r="1166" spans="1:6" x14ac:dyDescent="0.3">
      <c r="A1166">
        <v>2024</v>
      </c>
      <c r="B1166">
        <v>3</v>
      </c>
      <c r="C1166" t="s">
        <v>41</v>
      </c>
      <c r="D1166" t="s">
        <v>48</v>
      </c>
      <c r="E1166" t="s">
        <v>52</v>
      </c>
      <c r="F1166">
        <v>76349.55</v>
      </c>
    </row>
    <row r="1167" spans="1:6" x14ac:dyDescent="0.3">
      <c r="A1167">
        <v>2024</v>
      </c>
      <c r="B1167">
        <v>3</v>
      </c>
      <c r="C1167" t="s">
        <v>42</v>
      </c>
      <c r="D1167" t="s">
        <v>48</v>
      </c>
      <c r="E1167" t="s">
        <v>52</v>
      </c>
      <c r="F1167">
        <v>11079.36</v>
      </c>
    </row>
    <row r="1168" spans="1:6" x14ac:dyDescent="0.3">
      <c r="A1168">
        <v>2024</v>
      </c>
      <c r="B1168">
        <v>3</v>
      </c>
      <c r="C1168" t="s">
        <v>43</v>
      </c>
      <c r="D1168" t="s">
        <v>48</v>
      </c>
      <c r="E1168" t="s">
        <v>52</v>
      </c>
      <c r="F1168">
        <v>19650.849999999999</v>
      </c>
    </row>
    <row r="1169" spans="1:6" x14ac:dyDescent="0.3">
      <c r="A1169">
        <v>2024</v>
      </c>
      <c r="B1169">
        <v>3</v>
      </c>
      <c r="C1169" t="s">
        <v>44</v>
      </c>
      <c r="D1169" t="s">
        <v>48</v>
      </c>
      <c r="E1169" t="s">
        <v>52</v>
      </c>
      <c r="F1169">
        <v>37452.17</v>
      </c>
    </row>
    <row r="1170" spans="1:6" x14ac:dyDescent="0.3">
      <c r="A1170">
        <v>2024</v>
      </c>
      <c r="B1170">
        <v>3</v>
      </c>
      <c r="C1170" t="s">
        <v>45</v>
      </c>
      <c r="D1170" t="s">
        <v>48</v>
      </c>
      <c r="E1170" t="s">
        <v>52</v>
      </c>
      <c r="F1170">
        <v>85503.74</v>
      </c>
    </row>
    <row r="1171" spans="1:6" x14ac:dyDescent="0.3">
      <c r="A1171">
        <v>2024</v>
      </c>
      <c r="B1171">
        <v>3</v>
      </c>
      <c r="C1171" t="s">
        <v>37</v>
      </c>
      <c r="D1171" t="s">
        <v>48</v>
      </c>
      <c r="E1171" t="s">
        <v>53</v>
      </c>
      <c r="F1171">
        <v>88226.99</v>
      </c>
    </row>
    <row r="1172" spans="1:6" x14ac:dyDescent="0.3">
      <c r="A1172">
        <v>2024</v>
      </c>
      <c r="B1172">
        <v>3</v>
      </c>
      <c r="C1172" t="s">
        <v>40</v>
      </c>
      <c r="D1172" t="s">
        <v>48</v>
      </c>
      <c r="E1172" t="s">
        <v>53</v>
      </c>
      <c r="F1172">
        <v>55330.12</v>
      </c>
    </row>
    <row r="1173" spans="1:6" x14ac:dyDescent="0.3">
      <c r="A1173">
        <v>2024</v>
      </c>
      <c r="B1173">
        <v>3</v>
      </c>
      <c r="C1173" t="s">
        <v>41</v>
      </c>
      <c r="D1173" t="s">
        <v>48</v>
      </c>
      <c r="E1173" t="s">
        <v>53</v>
      </c>
      <c r="F1173">
        <v>83297.11</v>
      </c>
    </row>
    <row r="1174" spans="1:6" x14ac:dyDescent="0.3">
      <c r="A1174">
        <v>2024</v>
      </c>
      <c r="B1174">
        <v>3</v>
      </c>
      <c r="C1174" t="s">
        <v>42</v>
      </c>
      <c r="D1174" t="s">
        <v>48</v>
      </c>
      <c r="E1174" t="s">
        <v>53</v>
      </c>
      <c r="F1174">
        <v>21795.94</v>
      </c>
    </row>
    <row r="1175" spans="1:6" x14ac:dyDescent="0.3">
      <c r="A1175">
        <v>2024</v>
      </c>
      <c r="B1175">
        <v>3</v>
      </c>
      <c r="C1175" t="s">
        <v>43</v>
      </c>
      <c r="D1175" t="s">
        <v>48</v>
      </c>
      <c r="E1175" t="s">
        <v>53</v>
      </c>
      <c r="F1175">
        <v>61773.17</v>
      </c>
    </row>
    <row r="1176" spans="1:6" x14ac:dyDescent="0.3">
      <c r="A1176">
        <v>2024</v>
      </c>
      <c r="B1176">
        <v>3</v>
      </c>
      <c r="C1176" t="s">
        <v>44</v>
      </c>
      <c r="D1176" t="s">
        <v>48</v>
      </c>
      <c r="E1176" t="s">
        <v>53</v>
      </c>
      <c r="F1176">
        <v>49340.62</v>
      </c>
    </row>
    <row r="1177" spans="1:6" x14ac:dyDescent="0.3">
      <c r="A1177">
        <v>2024</v>
      </c>
      <c r="B1177">
        <v>3</v>
      </c>
      <c r="C1177" t="s">
        <v>45</v>
      </c>
      <c r="D1177" t="s">
        <v>48</v>
      </c>
      <c r="E1177" t="s">
        <v>53</v>
      </c>
      <c r="F1177">
        <v>92826.27</v>
      </c>
    </row>
    <row r="1178" spans="1:6" x14ac:dyDescent="0.3">
      <c r="A1178">
        <v>2024</v>
      </c>
      <c r="B1178">
        <v>3</v>
      </c>
      <c r="C1178" t="s">
        <v>37</v>
      </c>
      <c r="D1178" t="s">
        <v>48</v>
      </c>
      <c r="E1178" t="s">
        <v>54</v>
      </c>
      <c r="F1178">
        <v>18066.919999999998</v>
      </c>
    </row>
    <row r="1179" spans="1:6" x14ac:dyDescent="0.3">
      <c r="A1179">
        <v>2024</v>
      </c>
      <c r="B1179">
        <v>3</v>
      </c>
      <c r="C1179" t="s">
        <v>40</v>
      </c>
      <c r="D1179" t="s">
        <v>48</v>
      </c>
      <c r="E1179" t="s">
        <v>54</v>
      </c>
      <c r="F1179">
        <v>94628.13</v>
      </c>
    </row>
    <row r="1180" spans="1:6" x14ac:dyDescent="0.3">
      <c r="A1180">
        <v>2024</v>
      </c>
      <c r="B1180">
        <v>3</v>
      </c>
      <c r="C1180" t="s">
        <v>41</v>
      </c>
      <c r="D1180" t="s">
        <v>48</v>
      </c>
      <c r="E1180" t="s">
        <v>54</v>
      </c>
      <c r="F1180">
        <v>24805.37</v>
      </c>
    </row>
    <row r="1181" spans="1:6" x14ac:dyDescent="0.3">
      <c r="A1181">
        <v>2024</v>
      </c>
      <c r="B1181">
        <v>3</v>
      </c>
      <c r="C1181" t="s">
        <v>42</v>
      </c>
      <c r="D1181" t="s">
        <v>48</v>
      </c>
      <c r="E1181" t="s">
        <v>54</v>
      </c>
      <c r="F1181">
        <v>22902.71</v>
      </c>
    </row>
    <row r="1182" spans="1:6" x14ac:dyDescent="0.3">
      <c r="A1182">
        <v>2024</v>
      </c>
      <c r="B1182">
        <v>3</v>
      </c>
      <c r="C1182" t="s">
        <v>43</v>
      </c>
      <c r="D1182" t="s">
        <v>48</v>
      </c>
      <c r="E1182" t="s">
        <v>54</v>
      </c>
      <c r="F1182">
        <v>50600.77</v>
      </c>
    </row>
    <row r="1183" spans="1:6" x14ac:dyDescent="0.3">
      <c r="A1183">
        <v>2024</v>
      </c>
      <c r="B1183">
        <v>3</v>
      </c>
      <c r="C1183" t="s">
        <v>44</v>
      </c>
      <c r="D1183" t="s">
        <v>48</v>
      </c>
      <c r="E1183" t="s">
        <v>54</v>
      </c>
      <c r="F1183">
        <v>23260.57</v>
      </c>
    </row>
    <row r="1184" spans="1:6" x14ac:dyDescent="0.3">
      <c r="A1184">
        <v>2024</v>
      </c>
      <c r="B1184">
        <v>3</v>
      </c>
      <c r="C1184" t="s">
        <v>45</v>
      </c>
      <c r="D1184" t="s">
        <v>48</v>
      </c>
      <c r="E1184" t="s">
        <v>54</v>
      </c>
      <c r="F1184">
        <v>106272.56</v>
      </c>
    </row>
    <row r="1185" spans="1:6" x14ac:dyDescent="0.3">
      <c r="A1185">
        <v>2024</v>
      </c>
      <c r="B1185">
        <v>3</v>
      </c>
      <c r="C1185" t="s">
        <v>37</v>
      </c>
      <c r="D1185" t="s">
        <v>48</v>
      </c>
      <c r="E1185" t="s">
        <v>55</v>
      </c>
      <c r="F1185">
        <v>59338.39</v>
      </c>
    </row>
    <row r="1186" spans="1:6" x14ac:dyDescent="0.3">
      <c r="A1186">
        <v>2024</v>
      </c>
      <c r="B1186">
        <v>3</v>
      </c>
      <c r="C1186" t="s">
        <v>40</v>
      </c>
      <c r="D1186" t="s">
        <v>48</v>
      </c>
      <c r="E1186" t="s">
        <v>55</v>
      </c>
      <c r="F1186">
        <v>30642.77</v>
      </c>
    </row>
    <row r="1187" spans="1:6" x14ac:dyDescent="0.3">
      <c r="A1187">
        <v>2024</v>
      </c>
      <c r="B1187">
        <v>3</v>
      </c>
      <c r="C1187" t="s">
        <v>41</v>
      </c>
      <c r="D1187" t="s">
        <v>48</v>
      </c>
      <c r="E1187" t="s">
        <v>55</v>
      </c>
      <c r="F1187">
        <v>31833.72</v>
      </c>
    </row>
    <row r="1188" spans="1:6" x14ac:dyDescent="0.3">
      <c r="A1188">
        <v>2024</v>
      </c>
      <c r="B1188">
        <v>3</v>
      </c>
      <c r="C1188" t="s">
        <v>42</v>
      </c>
      <c r="D1188" t="s">
        <v>48</v>
      </c>
      <c r="E1188" t="s">
        <v>55</v>
      </c>
      <c r="F1188">
        <v>16158.9</v>
      </c>
    </row>
    <row r="1189" spans="1:6" x14ac:dyDescent="0.3">
      <c r="A1189">
        <v>2024</v>
      </c>
      <c r="B1189">
        <v>3</v>
      </c>
      <c r="C1189" t="s">
        <v>43</v>
      </c>
      <c r="D1189" t="s">
        <v>48</v>
      </c>
      <c r="E1189" t="s">
        <v>55</v>
      </c>
      <c r="F1189">
        <v>79033.98</v>
      </c>
    </row>
    <row r="1190" spans="1:6" x14ac:dyDescent="0.3">
      <c r="A1190">
        <v>2024</v>
      </c>
      <c r="B1190">
        <v>3</v>
      </c>
      <c r="C1190" t="s">
        <v>44</v>
      </c>
      <c r="D1190" t="s">
        <v>48</v>
      </c>
      <c r="E1190" t="s">
        <v>55</v>
      </c>
      <c r="F1190">
        <v>81116.72</v>
      </c>
    </row>
    <row r="1191" spans="1:6" x14ac:dyDescent="0.3">
      <c r="A1191">
        <v>2024</v>
      </c>
      <c r="B1191">
        <v>3</v>
      </c>
      <c r="C1191" t="s">
        <v>45</v>
      </c>
      <c r="D1191" t="s">
        <v>48</v>
      </c>
      <c r="E1191" t="s">
        <v>55</v>
      </c>
      <c r="F1191">
        <v>70439.27</v>
      </c>
    </row>
    <row r="1192" spans="1:6" x14ac:dyDescent="0.3">
      <c r="A1192">
        <v>2024</v>
      </c>
      <c r="B1192">
        <v>3</v>
      </c>
      <c r="C1192" t="s">
        <v>37</v>
      </c>
      <c r="D1192" t="s">
        <v>48</v>
      </c>
      <c r="E1192" t="s">
        <v>56</v>
      </c>
      <c r="F1192">
        <v>123332.57</v>
      </c>
    </row>
    <row r="1193" spans="1:6" x14ac:dyDescent="0.3">
      <c r="A1193">
        <v>2024</v>
      </c>
      <c r="B1193">
        <v>3</v>
      </c>
      <c r="C1193" t="s">
        <v>40</v>
      </c>
      <c r="D1193" t="s">
        <v>48</v>
      </c>
      <c r="E1193" t="s">
        <v>56</v>
      </c>
      <c r="F1193">
        <v>90011.09</v>
      </c>
    </row>
    <row r="1194" spans="1:6" x14ac:dyDescent="0.3">
      <c r="A1194">
        <v>2024</v>
      </c>
      <c r="B1194">
        <v>3</v>
      </c>
      <c r="C1194" t="s">
        <v>41</v>
      </c>
      <c r="D1194" t="s">
        <v>48</v>
      </c>
      <c r="E1194" t="s">
        <v>56</v>
      </c>
      <c r="F1194">
        <v>45334.27</v>
      </c>
    </row>
    <row r="1195" spans="1:6" x14ac:dyDescent="0.3">
      <c r="A1195">
        <v>2024</v>
      </c>
      <c r="B1195">
        <v>3</v>
      </c>
      <c r="C1195" t="s">
        <v>42</v>
      </c>
      <c r="D1195" t="s">
        <v>48</v>
      </c>
      <c r="E1195" t="s">
        <v>56</v>
      </c>
      <c r="F1195">
        <v>114326.09</v>
      </c>
    </row>
    <row r="1196" spans="1:6" x14ac:dyDescent="0.3">
      <c r="A1196">
        <v>2024</v>
      </c>
      <c r="B1196">
        <v>3</v>
      </c>
      <c r="C1196" t="s">
        <v>43</v>
      </c>
      <c r="D1196" t="s">
        <v>48</v>
      </c>
      <c r="E1196" t="s">
        <v>56</v>
      </c>
      <c r="F1196">
        <v>50009.26</v>
      </c>
    </row>
    <row r="1197" spans="1:6" x14ac:dyDescent="0.3">
      <c r="A1197">
        <v>2024</v>
      </c>
      <c r="B1197">
        <v>3</v>
      </c>
      <c r="C1197" t="s">
        <v>44</v>
      </c>
      <c r="D1197" t="s">
        <v>48</v>
      </c>
      <c r="E1197" t="s">
        <v>56</v>
      </c>
      <c r="F1197">
        <v>105404.6</v>
      </c>
    </row>
    <row r="1198" spans="1:6" x14ac:dyDescent="0.3">
      <c r="A1198">
        <v>2024</v>
      </c>
      <c r="B1198">
        <v>3</v>
      </c>
      <c r="C1198" t="s">
        <v>45</v>
      </c>
      <c r="D1198" t="s">
        <v>48</v>
      </c>
      <c r="E1198" t="s">
        <v>56</v>
      </c>
      <c r="F1198">
        <v>57816.11</v>
      </c>
    </row>
    <row r="1199" spans="1:6" x14ac:dyDescent="0.3">
      <c r="A1199">
        <v>2024</v>
      </c>
      <c r="B1199">
        <v>3</v>
      </c>
      <c r="C1199" t="s">
        <v>37</v>
      </c>
      <c r="D1199" t="s">
        <v>57</v>
      </c>
      <c r="E1199" t="s">
        <v>58</v>
      </c>
      <c r="F1199">
        <v>21635.78</v>
      </c>
    </row>
    <row r="1200" spans="1:6" x14ac:dyDescent="0.3">
      <c r="A1200">
        <v>2024</v>
      </c>
      <c r="B1200">
        <v>3</v>
      </c>
      <c r="C1200" t="s">
        <v>37</v>
      </c>
      <c r="D1200" t="s">
        <v>57</v>
      </c>
      <c r="E1200" t="s">
        <v>59</v>
      </c>
      <c r="F1200">
        <v>100931.36</v>
      </c>
    </row>
    <row r="1201" spans="1:6" x14ac:dyDescent="0.3">
      <c r="A1201">
        <v>2024</v>
      </c>
      <c r="B1201">
        <v>3</v>
      </c>
      <c r="C1201" t="s">
        <v>37</v>
      </c>
      <c r="D1201" t="s">
        <v>57</v>
      </c>
      <c r="E1201" t="s">
        <v>60</v>
      </c>
      <c r="F1201">
        <v>173041.41</v>
      </c>
    </row>
    <row r="1202" spans="1:6" x14ac:dyDescent="0.3">
      <c r="A1202">
        <v>2024</v>
      </c>
      <c r="B1202">
        <v>4</v>
      </c>
      <c r="C1202" t="s">
        <v>37</v>
      </c>
      <c r="D1202" t="s">
        <v>38</v>
      </c>
      <c r="E1202" t="s">
        <v>39</v>
      </c>
      <c r="F1202">
        <v>98871.76</v>
      </c>
    </row>
    <row r="1203" spans="1:6" x14ac:dyDescent="0.3">
      <c r="A1203">
        <v>2024</v>
      </c>
      <c r="B1203">
        <v>4</v>
      </c>
      <c r="C1203" t="s">
        <v>40</v>
      </c>
      <c r="D1203" t="s">
        <v>38</v>
      </c>
      <c r="E1203" t="s">
        <v>39</v>
      </c>
      <c r="F1203">
        <v>31491.53</v>
      </c>
    </row>
    <row r="1204" spans="1:6" x14ac:dyDescent="0.3">
      <c r="A1204">
        <v>2024</v>
      </c>
      <c r="B1204">
        <v>4</v>
      </c>
      <c r="C1204" t="s">
        <v>41</v>
      </c>
      <c r="D1204" t="s">
        <v>38</v>
      </c>
      <c r="E1204" t="s">
        <v>39</v>
      </c>
      <c r="F1204">
        <v>117672.96000000001</v>
      </c>
    </row>
    <row r="1205" spans="1:6" x14ac:dyDescent="0.3">
      <c r="A1205">
        <v>2024</v>
      </c>
      <c r="B1205">
        <v>4</v>
      </c>
      <c r="C1205" t="s">
        <v>42</v>
      </c>
      <c r="D1205" t="s">
        <v>38</v>
      </c>
      <c r="E1205" t="s">
        <v>39</v>
      </c>
      <c r="F1205">
        <v>39956.589999999997</v>
      </c>
    </row>
    <row r="1206" spans="1:6" x14ac:dyDescent="0.3">
      <c r="A1206">
        <v>2024</v>
      </c>
      <c r="B1206">
        <v>4</v>
      </c>
      <c r="C1206" t="s">
        <v>43</v>
      </c>
      <c r="D1206" t="s">
        <v>38</v>
      </c>
      <c r="E1206" t="s">
        <v>39</v>
      </c>
      <c r="F1206">
        <v>59779.58</v>
      </c>
    </row>
    <row r="1207" spans="1:6" x14ac:dyDescent="0.3">
      <c r="A1207">
        <v>2024</v>
      </c>
      <c r="B1207">
        <v>4</v>
      </c>
      <c r="C1207" t="s">
        <v>44</v>
      </c>
      <c r="D1207" t="s">
        <v>38</v>
      </c>
      <c r="E1207" t="s">
        <v>39</v>
      </c>
      <c r="F1207">
        <v>86221.23</v>
      </c>
    </row>
    <row r="1208" spans="1:6" x14ac:dyDescent="0.3">
      <c r="A1208">
        <v>2024</v>
      </c>
      <c r="B1208">
        <v>4</v>
      </c>
      <c r="C1208" t="s">
        <v>45</v>
      </c>
      <c r="D1208" t="s">
        <v>38</v>
      </c>
      <c r="E1208" t="s">
        <v>39</v>
      </c>
      <c r="F1208">
        <v>101924.22</v>
      </c>
    </row>
    <row r="1209" spans="1:6" x14ac:dyDescent="0.3">
      <c r="A1209">
        <v>2024</v>
      </c>
      <c r="B1209">
        <v>4</v>
      </c>
      <c r="C1209" t="s">
        <v>37</v>
      </c>
      <c r="D1209" t="s">
        <v>38</v>
      </c>
      <c r="E1209" t="s">
        <v>46</v>
      </c>
      <c r="F1209">
        <v>99867.19</v>
      </c>
    </row>
    <row r="1210" spans="1:6" x14ac:dyDescent="0.3">
      <c r="A1210">
        <v>2024</v>
      </c>
      <c r="B1210">
        <v>4</v>
      </c>
      <c r="C1210" t="s">
        <v>40</v>
      </c>
      <c r="D1210" t="s">
        <v>38</v>
      </c>
      <c r="E1210" t="s">
        <v>46</v>
      </c>
      <c r="F1210">
        <v>146835.71</v>
      </c>
    </row>
    <row r="1211" spans="1:6" x14ac:dyDescent="0.3">
      <c r="A1211">
        <v>2024</v>
      </c>
      <c r="B1211">
        <v>4</v>
      </c>
      <c r="C1211" t="s">
        <v>41</v>
      </c>
      <c r="D1211" t="s">
        <v>38</v>
      </c>
      <c r="E1211" t="s">
        <v>46</v>
      </c>
      <c r="F1211">
        <v>102448.28</v>
      </c>
    </row>
    <row r="1212" spans="1:6" x14ac:dyDescent="0.3">
      <c r="A1212">
        <v>2024</v>
      </c>
      <c r="B1212">
        <v>4</v>
      </c>
      <c r="C1212" t="s">
        <v>42</v>
      </c>
      <c r="D1212" t="s">
        <v>38</v>
      </c>
      <c r="E1212" t="s">
        <v>46</v>
      </c>
      <c r="F1212">
        <v>34446.559999999998</v>
      </c>
    </row>
    <row r="1213" spans="1:6" x14ac:dyDescent="0.3">
      <c r="A1213">
        <v>2024</v>
      </c>
      <c r="B1213">
        <v>4</v>
      </c>
      <c r="C1213" t="s">
        <v>43</v>
      </c>
      <c r="D1213" t="s">
        <v>38</v>
      </c>
      <c r="E1213" t="s">
        <v>46</v>
      </c>
      <c r="F1213">
        <v>24511.42</v>
      </c>
    </row>
    <row r="1214" spans="1:6" x14ac:dyDescent="0.3">
      <c r="A1214">
        <v>2024</v>
      </c>
      <c r="B1214">
        <v>4</v>
      </c>
      <c r="C1214" t="s">
        <v>44</v>
      </c>
      <c r="D1214" t="s">
        <v>38</v>
      </c>
      <c r="E1214" t="s">
        <v>46</v>
      </c>
      <c r="F1214">
        <v>14427.22</v>
      </c>
    </row>
    <row r="1215" spans="1:6" x14ac:dyDescent="0.3">
      <c r="A1215">
        <v>2024</v>
      </c>
      <c r="B1215">
        <v>4</v>
      </c>
      <c r="C1215" t="s">
        <v>45</v>
      </c>
      <c r="D1215" t="s">
        <v>38</v>
      </c>
      <c r="E1215" t="s">
        <v>46</v>
      </c>
      <c r="F1215">
        <v>115034.86</v>
      </c>
    </row>
    <row r="1216" spans="1:6" x14ac:dyDescent="0.3">
      <c r="A1216">
        <v>2024</v>
      </c>
      <c r="B1216">
        <v>4</v>
      </c>
      <c r="C1216" t="s">
        <v>37</v>
      </c>
      <c r="D1216" t="s">
        <v>38</v>
      </c>
      <c r="E1216" t="s">
        <v>47</v>
      </c>
      <c r="F1216">
        <v>19034.2</v>
      </c>
    </row>
    <row r="1217" spans="1:6" x14ac:dyDescent="0.3">
      <c r="A1217">
        <v>2024</v>
      </c>
      <c r="B1217">
        <v>4</v>
      </c>
      <c r="C1217" t="s">
        <v>40</v>
      </c>
      <c r="D1217" t="s">
        <v>38</v>
      </c>
      <c r="E1217" t="s">
        <v>47</v>
      </c>
      <c r="F1217">
        <v>86603.09</v>
      </c>
    </row>
    <row r="1218" spans="1:6" x14ac:dyDescent="0.3">
      <c r="A1218">
        <v>2024</v>
      </c>
      <c r="B1218">
        <v>4</v>
      </c>
      <c r="C1218" t="s">
        <v>41</v>
      </c>
      <c r="D1218" t="s">
        <v>38</v>
      </c>
      <c r="E1218" t="s">
        <v>47</v>
      </c>
      <c r="F1218">
        <v>19194.77</v>
      </c>
    </row>
    <row r="1219" spans="1:6" x14ac:dyDescent="0.3">
      <c r="A1219">
        <v>2024</v>
      </c>
      <c r="B1219">
        <v>4</v>
      </c>
      <c r="C1219" t="s">
        <v>42</v>
      </c>
      <c r="D1219" t="s">
        <v>38</v>
      </c>
      <c r="E1219" t="s">
        <v>47</v>
      </c>
      <c r="F1219">
        <v>82322.47</v>
      </c>
    </row>
    <row r="1220" spans="1:6" x14ac:dyDescent="0.3">
      <c r="A1220">
        <v>2024</v>
      </c>
      <c r="B1220">
        <v>4</v>
      </c>
      <c r="C1220" t="s">
        <v>43</v>
      </c>
      <c r="D1220" t="s">
        <v>38</v>
      </c>
      <c r="E1220" t="s">
        <v>47</v>
      </c>
      <c r="F1220">
        <v>137230.13</v>
      </c>
    </row>
    <row r="1221" spans="1:6" x14ac:dyDescent="0.3">
      <c r="A1221">
        <v>2024</v>
      </c>
      <c r="B1221">
        <v>4</v>
      </c>
      <c r="C1221" t="s">
        <v>44</v>
      </c>
      <c r="D1221" t="s">
        <v>38</v>
      </c>
      <c r="E1221" t="s">
        <v>47</v>
      </c>
      <c r="F1221">
        <v>36839.230000000003</v>
      </c>
    </row>
    <row r="1222" spans="1:6" x14ac:dyDescent="0.3">
      <c r="A1222">
        <v>2024</v>
      </c>
      <c r="B1222">
        <v>4</v>
      </c>
      <c r="C1222" t="s">
        <v>45</v>
      </c>
      <c r="D1222" t="s">
        <v>38</v>
      </c>
      <c r="E1222" t="s">
        <v>47</v>
      </c>
      <c r="F1222">
        <v>131819.32999999999</v>
      </c>
    </row>
    <row r="1223" spans="1:6" x14ac:dyDescent="0.3">
      <c r="A1223">
        <v>2024</v>
      </c>
      <c r="B1223">
        <v>4</v>
      </c>
      <c r="C1223" t="s">
        <v>37</v>
      </c>
      <c r="D1223" t="s">
        <v>48</v>
      </c>
      <c r="E1223" t="s">
        <v>49</v>
      </c>
      <c r="F1223">
        <v>87834.2</v>
      </c>
    </row>
    <row r="1224" spans="1:6" x14ac:dyDescent="0.3">
      <c r="A1224">
        <v>2024</v>
      </c>
      <c r="B1224">
        <v>4</v>
      </c>
      <c r="C1224" t="s">
        <v>40</v>
      </c>
      <c r="D1224" t="s">
        <v>48</v>
      </c>
      <c r="E1224" t="s">
        <v>49</v>
      </c>
      <c r="F1224">
        <v>94308.07</v>
      </c>
    </row>
    <row r="1225" spans="1:6" x14ac:dyDescent="0.3">
      <c r="A1225">
        <v>2024</v>
      </c>
      <c r="B1225">
        <v>4</v>
      </c>
      <c r="C1225" t="s">
        <v>41</v>
      </c>
      <c r="D1225" t="s">
        <v>48</v>
      </c>
      <c r="E1225" t="s">
        <v>49</v>
      </c>
      <c r="F1225">
        <v>69544.12</v>
      </c>
    </row>
    <row r="1226" spans="1:6" x14ac:dyDescent="0.3">
      <c r="A1226">
        <v>2024</v>
      </c>
      <c r="B1226">
        <v>4</v>
      </c>
      <c r="C1226" t="s">
        <v>42</v>
      </c>
      <c r="D1226" t="s">
        <v>48</v>
      </c>
      <c r="E1226" t="s">
        <v>49</v>
      </c>
      <c r="F1226">
        <v>46258.52</v>
      </c>
    </row>
    <row r="1227" spans="1:6" x14ac:dyDescent="0.3">
      <c r="A1227">
        <v>2024</v>
      </c>
      <c r="B1227">
        <v>4</v>
      </c>
      <c r="C1227" t="s">
        <v>43</v>
      </c>
      <c r="D1227" t="s">
        <v>48</v>
      </c>
      <c r="E1227" t="s">
        <v>49</v>
      </c>
      <c r="F1227">
        <v>95661.71</v>
      </c>
    </row>
    <row r="1228" spans="1:6" x14ac:dyDescent="0.3">
      <c r="A1228">
        <v>2024</v>
      </c>
      <c r="B1228">
        <v>4</v>
      </c>
      <c r="C1228" t="s">
        <v>44</v>
      </c>
      <c r="D1228" t="s">
        <v>48</v>
      </c>
      <c r="E1228" t="s">
        <v>49</v>
      </c>
      <c r="F1228">
        <v>69276.45</v>
      </c>
    </row>
    <row r="1229" spans="1:6" x14ac:dyDescent="0.3">
      <c r="A1229">
        <v>2024</v>
      </c>
      <c r="B1229">
        <v>4</v>
      </c>
      <c r="C1229" t="s">
        <v>45</v>
      </c>
      <c r="D1229" t="s">
        <v>48</v>
      </c>
      <c r="E1229" t="s">
        <v>49</v>
      </c>
      <c r="F1229">
        <v>96302.18</v>
      </c>
    </row>
    <row r="1230" spans="1:6" x14ac:dyDescent="0.3">
      <c r="A1230">
        <v>2024</v>
      </c>
      <c r="B1230">
        <v>4</v>
      </c>
      <c r="C1230" t="s">
        <v>37</v>
      </c>
      <c r="D1230" t="s">
        <v>48</v>
      </c>
      <c r="E1230" t="s">
        <v>50</v>
      </c>
      <c r="F1230">
        <v>53683.59</v>
      </c>
    </row>
    <row r="1231" spans="1:6" x14ac:dyDescent="0.3">
      <c r="A1231">
        <v>2024</v>
      </c>
      <c r="B1231">
        <v>4</v>
      </c>
      <c r="C1231" t="s">
        <v>40</v>
      </c>
      <c r="D1231" t="s">
        <v>48</v>
      </c>
      <c r="E1231" t="s">
        <v>50</v>
      </c>
      <c r="F1231">
        <v>54453.4</v>
      </c>
    </row>
    <row r="1232" spans="1:6" x14ac:dyDescent="0.3">
      <c r="A1232">
        <v>2024</v>
      </c>
      <c r="B1232">
        <v>4</v>
      </c>
      <c r="C1232" t="s">
        <v>41</v>
      </c>
      <c r="D1232" t="s">
        <v>48</v>
      </c>
      <c r="E1232" t="s">
        <v>50</v>
      </c>
      <c r="F1232">
        <v>133356.95000000001</v>
      </c>
    </row>
    <row r="1233" spans="1:6" x14ac:dyDescent="0.3">
      <c r="A1233">
        <v>2024</v>
      </c>
      <c r="B1233">
        <v>4</v>
      </c>
      <c r="C1233" t="s">
        <v>42</v>
      </c>
      <c r="D1233" t="s">
        <v>48</v>
      </c>
      <c r="E1233" t="s">
        <v>50</v>
      </c>
      <c r="F1233">
        <v>78086.720000000001</v>
      </c>
    </row>
    <row r="1234" spans="1:6" x14ac:dyDescent="0.3">
      <c r="A1234">
        <v>2024</v>
      </c>
      <c r="B1234">
        <v>4</v>
      </c>
      <c r="C1234" t="s">
        <v>43</v>
      </c>
      <c r="D1234" t="s">
        <v>48</v>
      </c>
      <c r="E1234" t="s">
        <v>50</v>
      </c>
      <c r="F1234">
        <v>47259.86</v>
      </c>
    </row>
    <row r="1235" spans="1:6" x14ac:dyDescent="0.3">
      <c r="A1235">
        <v>2024</v>
      </c>
      <c r="B1235">
        <v>4</v>
      </c>
      <c r="C1235" t="s">
        <v>44</v>
      </c>
      <c r="D1235" t="s">
        <v>48</v>
      </c>
      <c r="E1235" t="s">
        <v>50</v>
      </c>
      <c r="F1235">
        <v>103011.71</v>
      </c>
    </row>
    <row r="1236" spans="1:6" x14ac:dyDescent="0.3">
      <c r="A1236">
        <v>2024</v>
      </c>
      <c r="B1236">
        <v>4</v>
      </c>
      <c r="C1236" t="s">
        <v>45</v>
      </c>
      <c r="D1236" t="s">
        <v>48</v>
      </c>
      <c r="E1236" t="s">
        <v>50</v>
      </c>
      <c r="F1236">
        <v>64724.69</v>
      </c>
    </row>
    <row r="1237" spans="1:6" x14ac:dyDescent="0.3">
      <c r="A1237">
        <v>2024</v>
      </c>
      <c r="B1237">
        <v>4</v>
      </c>
      <c r="C1237" t="s">
        <v>37</v>
      </c>
      <c r="D1237" t="s">
        <v>48</v>
      </c>
      <c r="E1237" t="s">
        <v>51</v>
      </c>
      <c r="F1237">
        <v>97111.51</v>
      </c>
    </row>
    <row r="1238" spans="1:6" x14ac:dyDescent="0.3">
      <c r="A1238">
        <v>2024</v>
      </c>
      <c r="B1238">
        <v>4</v>
      </c>
      <c r="C1238" t="s">
        <v>40</v>
      </c>
      <c r="D1238" t="s">
        <v>48</v>
      </c>
      <c r="E1238" t="s">
        <v>51</v>
      </c>
      <c r="F1238">
        <v>43851.85</v>
      </c>
    </row>
    <row r="1239" spans="1:6" x14ac:dyDescent="0.3">
      <c r="A1239">
        <v>2024</v>
      </c>
      <c r="B1239">
        <v>4</v>
      </c>
      <c r="C1239" t="s">
        <v>41</v>
      </c>
      <c r="D1239" t="s">
        <v>48</v>
      </c>
      <c r="E1239" t="s">
        <v>51</v>
      </c>
      <c r="F1239">
        <v>134540.92000000001</v>
      </c>
    </row>
    <row r="1240" spans="1:6" x14ac:dyDescent="0.3">
      <c r="A1240">
        <v>2024</v>
      </c>
      <c r="B1240">
        <v>4</v>
      </c>
      <c r="C1240" t="s">
        <v>42</v>
      </c>
      <c r="D1240" t="s">
        <v>48</v>
      </c>
      <c r="E1240" t="s">
        <v>51</v>
      </c>
      <c r="F1240">
        <v>129151.64</v>
      </c>
    </row>
    <row r="1241" spans="1:6" x14ac:dyDescent="0.3">
      <c r="A1241">
        <v>2024</v>
      </c>
      <c r="B1241">
        <v>4</v>
      </c>
      <c r="C1241" t="s">
        <v>43</v>
      </c>
      <c r="D1241" t="s">
        <v>48</v>
      </c>
      <c r="E1241" t="s">
        <v>51</v>
      </c>
      <c r="F1241">
        <v>122196.69</v>
      </c>
    </row>
    <row r="1242" spans="1:6" x14ac:dyDescent="0.3">
      <c r="A1242">
        <v>2024</v>
      </c>
      <c r="B1242">
        <v>4</v>
      </c>
      <c r="C1242" t="s">
        <v>44</v>
      </c>
      <c r="D1242" t="s">
        <v>48</v>
      </c>
      <c r="E1242" t="s">
        <v>51</v>
      </c>
      <c r="F1242">
        <v>52466.99</v>
      </c>
    </row>
    <row r="1243" spans="1:6" x14ac:dyDescent="0.3">
      <c r="A1243">
        <v>2024</v>
      </c>
      <c r="B1243">
        <v>4</v>
      </c>
      <c r="C1243" t="s">
        <v>45</v>
      </c>
      <c r="D1243" t="s">
        <v>48</v>
      </c>
      <c r="E1243" t="s">
        <v>51</v>
      </c>
      <c r="F1243">
        <v>71029.91</v>
      </c>
    </row>
    <row r="1244" spans="1:6" x14ac:dyDescent="0.3">
      <c r="A1244">
        <v>2024</v>
      </c>
      <c r="B1244">
        <v>4</v>
      </c>
      <c r="C1244" t="s">
        <v>37</v>
      </c>
      <c r="D1244" t="s">
        <v>48</v>
      </c>
      <c r="E1244" t="s">
        <v>52</v>
      </c>
      <c r="F1244">
        <v>29233.919999999998</v>
      </c>
    </row>
    <row r="1245" spans="1:6" x14ac:dyDescent="0.3">
      <c r="A1245">
        <v>2024</v>
      </c>
      <c r="B1245">
        <v>4</v>
      </c>
      <c r="C1245" t="s">
        <v>40</v>
      </c>
      <c r="D1245" t="s">
        <v>48</v>
      </c>
      <c r="E1245" t="s">
        <v>52</v>
      </c>
      <c r="F1245">
        <v>56581.22</v>
      </c>
    </row>
    <row r="1246" spans="1:6" x14ac:dyDescent="0.3">
      <c r="A1246">
        <v>2024</v>
      </c>
      <c r="B1246">
        <v>4</v>
      </c>
      <c r="C1246" t="s">
        <v>41</v>
      </c>
      <c r="D1246" t="s">
        <v>48</v>
      </c>
      <c r="E1246" t="s">
        <v>52</v>
      </c>
      <c r="F1246">
        <v>30379.01</v>
      </c>
    </row>
    <row r="1247" spans="1:6" x14ac:dyDescent="0.3">
      <c r="A1247">
        <v>2024</v>
      </c>
      <c r="B1247">
        <v>4</v>
      </c>
      <c r="C1247" t="s">
        <v>42</v>
      </c>
      <c r="D1247" t="s">
        <v>48</v>
      </c>
      <c r="E1247" t="s">
        <v>52</v>
      </c>
      <c r="F1247">
        <v>18535.47</v>
      </c>
    </row>
    <row r="1248" spans="1:6" x14ac:dyDescent="0.3">
      <c r="A1248">
        <v>2024</v>
      </c>
      <c r="B1248">
        <v>4</v>
      </c>
      <c r="C1248" t="s">
        <v>43</v>
      </c>
      <c r="D1248" t="s">
        <v>48</v>
      </c>
      <c r="E1248" t="s">
        <v>52</v>
      </c>
      <c r="F1248">
        <v>53122.55</v>
      </c>
    </row>
    <row r="1249" spans="1:6" x14ac:dyDescent="0.3">
      <c r="A1249">
        <v>2024</v>
      </c>
      <c r="B1249">
        <v>4</v>
      </c>
      <c r="C1249" t="s">
        <v>44</v>
      </c>
      <c r="D1249" t="s">
        <v>48</v>
      </c>
      <c r="E1249" t="s">
        <v>52</v>
      </c>
      <c r="F1249">
        <v>100315.38</v>
      </c>
    </row>
    <row r="1250" spans="1:6" x14ac:dyDescent="0.3">
      <c r="A1250">
        <v>2024</v>
      </c>
      <c r="B1250">
        <v>4</v>
      </c>
      <c r="C1250" t="s">
        <v>45</v>
      </c>
      <c r="D1250" t="s">
        <v>48</v>
      </c>
      <c r="E1250" t="s">
        <v>52</v>
      </c>
      <c r="F1250">
        <v>78587.070000000007</v>
      </c>
    </row>
    <row r="1251" spans="1:6" x14ac:dyDescent="0.3">
      <c r="A1251">
        <v>2024</v>
      </c>
      <c r="B1251">
        <v>4</v>
      </c>
      <c r="C1251" t="s">
        <v>37</v>
      </c>
      <c r="D1251" t="s">
        <v>48</v>
      </c>
      <c r="E1251" t="s">
        <v>53</v>
      </c>
      <c r="F1251">
        <v>35219.980000000003</v>
      </c>
    </row>
    <row r="1252" spans="1:6" x14ac:dyDescent="0.3">
      <c r="A1252">
        <v>2024</v>
      </c>
      <c r="B1252">
        <v>4</v>
      </c>
      <c r="C1252" t="s">
        <v>40</v>
      </c>
      <c r="D1252" t="s">
        <v>48</v>
      </c>
      <c r="E1252" t="s">
        <v>53</v>
      </c>
      <c r="F1252">
        <v>46973.87</v>
      </c>
    </row>
    <row r="1253" spans="1:6" x14ac:dyDescent="0.3">
      <c r="A1253">
        <v>2024</v>
      </c>
      <c r="B1253">
        <v>4</v>
      </c>
      <c r="C1253" t="s">
        <v>41</v>
      </c>
      <c r="D1253" t="s">
        <v>48</v>
      </c>
      <c r="E1253" t="s">
        <v>53</v>
      </c>
      <c r="F1253">
        <v>33783.769999999997</v>
      </c>
    </row>
    <row r="1254" spans="1:6" x14ac:dyDescent="0.3">
      <c r="A1254">
        <v>2024</v>
      </c>
      <c r="B1254">
        <v>4</v>
      </c>
      <c r="C1254" t="s">
        <v>42</v>
      </c>
      <c r="D1254" t="s">
        <v>48</v>
      </c>
      <c r="E1254" t="s">
        <v>53</v>
      </c>
      <c r="F1254">
        <v>41659.089999999997</v>
      </c>
    </row>
    <row r="1255" spans="1:6" x14ac:dyDescent="0.3">
      <c r="A1255">
        <v>2024</v>
      </c>
      <c r="B1255">
        <v>4</v>
      </c>
      <c r="C1255" t="s">
        <v>43</v>
      </c>
      <c r="D1255" t="s">
        <v>48</v>
      </c>
      <c r="E1255" t="s">
        <v>53</v>
      </c>
      <c r="F1255">
        <v>70474.990000000005</v>
      </c>
    </row>
    <row r="1256" spans="1:6" x14ac:dyDescent="0.3">
      <c r="A1256">
        <v>2024</v>
      </c>
      <c r="B1256">
        <v>4</v>
      </c>
      <c r="C1256" t="s">
        <v>44</v>
      </c>
      <c r="D1256" t="s">
        <v>48</v>
      </c>
      <c r="E1256" t="s">
        <v>53</v>
      </c>
      <c r="F1256">
        <v>84665.75</v>
      </c>
    </row>
    <row r="1257" spans="1:6" x14ac:dyDescent="0.3">
      <c r="A1257">
        <v>2024</v>
      </c>
      <c r="B1257">
        <v>4</v>
      </c>
      <c r="C1257" t="s">
        <v>45</v>
      </c>
      <c r="D1257" t="s">
        <v>48</v>
      </c>
      <c r="E1257" t="s">
        <v>53</v>
      </c>
      <c r="F1257">
        <v>36851.51</v>
      </c>
    </row>
    <row r="1258" spans="1:6" x14ac:dyDescent="0.3">
      <c r="A1258">
        <v>2024</v>
      </c>
      <c r="B1258">
        <v>4</v>
      </c>
      <c r="C1258" t="s">
        <v>37</v>
      </c>
      <c r="D1258" t="s">
        <v>48</v>
      </c>
      <c r="E1258" t="s">
        <v>54</v>
      </c>
      <c r="F1258">
        <v>76798.83</v>
      </c>
    </row>
    <row r="1259" spans="1:6" x14ac:dyDescent="0.3">
      <c r="A1259">
        <v>2024</v>
      </c>
      <c r="B1259">
        <v>4</v>
      </c>
      <c r="C1259" t="s">
        <v>40</v>
      </c>
      <c r="D1259" t="s">
        <v>48</v>
      </c>
      <c r="E1259" t="s">
        <v>54</v>
      </c>
      <c r="F1259">
        <v>67179.97</v>
      </c>
    </row>
    <row r="1260" spans="1:6" x14ac:dyDescent="0.3">
      <c r="A1260">
        <v>2024</v>
      </c>
      <c r="B1260">
        <v>4</v>
      </c>
      <c r="C1260" t="s">
        <v>41</v>
      </c>
      <c r="D1260" t="s">
        <v>48</v>
      </c>
      <c r="E1260" t="s">
        <v>54</v>
      </c>
      <c r="F1260">
        <v>22130.09</v>
      </c>
    </row>
    <row r="1261" spans="1:6" x14ac:dyDescent="0.3">
      <c r="A1261">
        <v>2024</v>
      </c>
      <c r="B1261">
        <v>4</v>
      </c>
      <c r="C1261" t="s">
        <v>42</v>
      </c>
      <c r="D1261" t="s">
        <v>48</v>
      </c>
      <c r="E1261" t="s">
        <v>54</v>
      </c>
      <c r="F1261">
        <v>12035.66</v>
      </c>
    </row>
    <row r="1262" spans="1:6" x14ac:dyDescent="0.3">
      <c r="A1262">
        <v>2024</v>
      </c>
      <c r="B1262">
        <v>4</v>
      </c>
      <c r="C1262" t="s">
        <v>43</v>
      </c>
      <c r="D1262" t="s">
        <v>48</v>
      </c>
      <c r="E1262" t="s">
        <v>54</v>
      </c>
      <c r="F1262">
        <v>90451.09</v>
      </c>
    </row>
    <row r="1263" spans="1:6" x14ac:dyDescent="0.3">
      <c r="A1263">
        <v>2024</v>
      </c>
      <c r="B1263">
        <v>4</v>
      </c>
      <c r="C1263" t="s">
        <v>44</v>
      </c>
      <c r="D1263" t="s">
        <v>48</v>
      </c>
      <c r="E1263" t="s">
        <v>54</v>
      </c>
      <c r="F1263">
        <v>100272.89</v>
      </c>
    </row>
    <row r="1264" spans="1:6" x14ac:dyDescent="0.3">
      <c r="A1264">
        <v>2024</v>
      </c>
      <c r="B1264">
        <v>4</v>
      </c>
      <c r="C1264" t="s">
        <v>45</v>
      </c>
      <c r="D1264" t="s">
        <v>48</v>
      </c>
      <c r="E1264" t="s">
        <v>54</v>
      </c>
      <c r="F1264">
        <v>62904.49</v>
      </c>
    </row>
    <row r="1265" spans="1:6" x14ac:dyDescent="0.3">
      <c r="A1265">
        <v>2024</v>
      </c>
      <c r="B1265">
        <v>4</v>
      </c>
      <c r="C1265" t="s">
        <v>37</v>
      </c>
      <c r="D1265" t="s">
        <v>48</v>
      </c>
      <c r="E1265" t="s">
        <v>55</v>
      </c>
      <c r="F1265">
        <v>51620.56</v>
      </c>
    </row>
    <row r="1266" spans="1:6" x14ac:dyDescent="0.3">
      <c r="A1266">
        <v>2024</v>
      </c>
      <c r="B1266">
        <v>4</v>
      </c>
      <c r="C1266" t="s">
        <v>40</v>
      </c>
      <c r="D1266" t="s">
        <v>48</v>
      </c>
      <c r="E1266" t="s">
        <v>55</v>
      </c>
      <c r="F1266">
        <v>66063.25</v>
      </c>
    </row>
    <row r="1267" spans="1:6" x14ac:dyDescent="0.3">
      <c r="A1267">
        <v>2024</v>
      </c>
      <c r="B1267">
        <v>4</v>
      </c>
      <c r="C1267" t="s">
        <v>41</v>
      </c>
      <c r="D1267" t="s">
        <v>48</v>
      </c>
      <c r="E1267" t="s">
        <v>55</v>
      </c>
      <c r="F1267">
        <v>103280.85</v>
      </c>
    </row>
    <row r="1268" spans="1:6" x14ac:dyDescent="0.3">
      <c r="A1268">
        <v>2024</v>
      </c>
      <c r="B1268">
        <v>4</v>
      </c>
      <c r="C1268" t="s">
        <v>42</v>
      </c>
      <c r="D1268" t="s">
        <v>48</v>
      </c>
      <c r="E1268" t="s">
        <v>55</v>
      </c>
      <c r="F1268">
        <v>36555.71</v>
      </c>
    </row>
    <row r="1269" spans="1:6" x14ac:dyDescent="0.3">
      <c r="A1269">
        <v>2024</v>
      </c>
      <c r="B1269">
        <v>4</v>
      </c>
      <c r="C1269" t="s">
        <v>43</v>
      </c>
      <c r="D1269" t="s">
        <v>48</v>
      </c>
      <c r="E1269" t="s">
        <v>55</v>
      </c>
      <c r="F1269">
        <v>81080.41</v>
      </c>
    </row>
    <row r="1270" spans="1:6" x14ac:dyDescent="0.3">
      <c r="A1270">
        <v>2024</v>
      </c>
      <c r="B1270">
        <v>4</v>
      </c>
      <c r="C1270" t="s">
        <v>44</v>
      </c>
      <c r="D1270" t="s">
        <v>48</v>
      </c>
      <c r="E1270" t="s">
        <v>55</v>
      </c>
      <c r="F1270">
        <v>89792.63</v>
      </c>
    </row>
    <row r="1271" spans="1:6" x14ac:dyDescent="0.3">
      <c r="A1271">
        <v>2024</v>
      </c>
      <c r="B1271">
        <v>4</v>
      </c>
      <c r="C1271" t="s">
        <v>45</v>
      </c>
      <c r="D1271" t="s">
        <v>48</v>
      </c>
      <c r="E1271" t="s">
        <v>55</v>
      </c>
      <c r="F1271">
        <v>15234.08</v>
      </c>
    </row>
    <row r="1272" spans="1:6" x14ac:dyDescent="0.3">
      <c r="A1272">
        <v>2024</v>
      </c>
      <c r="B1272">
        <v>4</v>
      </c>
      <c r="C1272" t="s">
        <v>37</v>
      </c>
      <c r="D1272" t="s">
        <v>48</v>
      </c>
      <c r="E1272" t="s">
        <v>56</v>
      </c>
      <c r="F1272">
        <v>90592.53</v>
      </c>
    </row>
    <row r="1273" spans="1:6" x14ac:dyDescent="0.3">
      <c r="A1273">
        <v>2024</v>
      </c>
      <c r="B1273">
        <v>4</v>
      </c>
      <c r="C1273" t="s">
        <v>40</v>
      </c>
      <c r="D1273" t="s">
        <v>48</v>
      </c>
      <c r="E1273" t="s">
        <v>56</v>
      </c>
      <c r="F1273">
        <v>142707.74</v>
      </c>
    </row>
    <row r="1274" spans="1:6" x14ac:dyDescent="0.3">
      <c r="A1274">
        <v>2024</v>
      </c>
      <c r="B1274">
        <v>4</v>
      </c>
      <c r="C1274" t="s">
        <v>41</v>
      </c>
      <c r="D1274" t="s">
        <v>48</v>
      </c>
      <c r="E1274" t="s">
        <v>56</v>
      </c>
      <c r="F1274">
        <v>96424.67</v>
      </c>
    </row>
    <row r="1275" spans="1:6" x14ac:dyDescent="0.3">
      <c r="A1275">
        <v>2024</v>
      </c>
      <c r="B1275">
        <v>4</v>
      </c>
      <c r="C1275" t="s">
        <v>42</v>
      </c>
      <c r="D1275" t="s">
        <v>48</v>
      </c>
      <c r="E1275" t="s">
        <v>56</v>
      </c>
      <c r="F1275">
        <v>16147.3</v>
      </c>
    </row>
    <row r="1276" spans="1:6" x14ac:dyDescent="0.3">
      <c r="A1276">
        <v>2024</v>
      </c>
      <c r="B1276">
        <v>4</v>
      </c>
      <c r="C1276" t="s">
        <v>43</v>
      </c>
      <c r="D1276" t="s">
        <v>48</v>
      </c>
      <c r="E1276" t="s">
        <v>56</v>
      </c>
      <c r="F1276">
        <v>15199.82</v>
      </c>
    </row>
    <row r="1277" spans="1:6" x14ac:dyDescent="0.3">
      <c r="A1277">
        <v>2024</v>
      </c>
      <c r="B1277">
        <v>4</v>
      </c>
      <c r="C1277" t="s">
        <v>44</v>
      </c>
      <c r="D1277" t="s">
        <v>48</v>
      </c>
      <c r="E1277" t="s">
        <v>56</v>
      </c>
      <c r="F1277">
        <v>73007.570000000007</v>
      </c>
    </row>
    <row r="1278" spans="1:6" x14ac:dyDescent="0.3">
      <c r="A1278">
        <v>2024</v>
      </c>
      <c r="B1278">
        <v>4</v>
      </c>
      <c r="C1278" t="s">
        <v>45</v>
      </c>
      <c r="D1278" t="s">
        <v>48</v>
      </c>
      <c r="E1278" t="s">
        <v>56</v>
      </c>
      <c r="F1278">
        <v>72161.789999999994</v>
      </c>
    </row>
    <row r="1279" spans="1:6" x14ac:dyDescent="0.3">
      <c r="A1279">
        <v>2024</v>
      </c>
      <c r="B1279">
        <v>4</v>
      </c>
      <c r="C1279" t="s">
        <v>37</v>
      </c>
      <c r="D1279" t="s">
        <v>57</v>
      </c>
      <c r="E1279" t="s">
        <v>58</v>
      </c>
      <c r="F1279">
        <v>177046.66</v>
      </c>
    </row>
    <row r="1280" spans="1:6" x14ac:dyDescent="0.3">
      <c r="A1280">
        <v>2024</v>
      </c>
      <c r="B1280">
        <v>4</v>
      </c>
      <c r="C1280" t="s">
        <v>37</v>
      </c>
      <c r="D1280" t="s">
        <v>57</v>
      </c>
      <c r="E1280" t="s">
        <v>59</v>
      </c>
      <c r="F1280">
        <v>91136.9</v>
      </c>
    </row>
    <row r="1281" spans="1:6" x14ac:dyDescent="0.3">
      <c r="A1281">
        <v>2024</v>
      </c>
      <c r="B1281">
        <v>4</v>
      </c>
      <c r="C1281" t="s">
        <v>37</v>
      </c>
      <c r="D1281" t="s">
        <v>57</v>
      </c>
      <c r="E1281" t="s">
        <v>60</v>
      </c>
      <c r="F1281">
        <v>127840.01</v>
      </c>
    </row>
    <row r="1282" spans="1:6" x14ac:dyDescent="0.3">
      <c r="A1282">
        <v>2024</v>
      </c>
      <c r="B1282">
        <v>5</v>
      </c>
      <c r="C1282" t="s">
        <v>37</v>
      </c>
      <c r="D1282" t="s">
        <v>38</v>
      </c>
      <c r="E1282" t="s">
        <v>39</v>
      </c>
      <c r="F1282">
        <v>40585</v>
      </c>
    </row>
    <row r="1283" spans="1:6" x14ac:dyDescent="0.3">
      <c r="A1283">
        <v>2024</v>
      </c>
      <c r="B1283">
        <v>5</v>
      </c>
      <c r="C1283" t="s">
        <v>40</v>
      </c>
      <c r="D1283" t="s">
        <v>38</v>
      </c>
      <c r="E1283" t="s">
        <v>39</v>
      </c>
      <c r="F1283">
        <v>58588.39</v>
      </c>
    </row>
    <row r="1284" spans="1:6" x14ac:dyDescent="0.3">
      <c r="A1284">
        <v>2024</v>
      </c>
      <c r="B1284">
        <v>5</v>
      </c>
      <c r="C1284" t="s">
        <v>41</v>
      </c>
      <c r="D1284" t="s">
        <v>38</v>
      </c>
      <c r="E1284" t="s">
        <v>39</v>
      </c>
      <c r="F1284">
        <v>131382.09</v>
      </c>
    </row>
    <row r="1285" spans="1:6" x14ac:dyDescent="0.3">
      <c r="A1285">
        <v>2024</v>
      </c>
      <c r="B1285">
        <v>5</v>
      </c>
      <c r="C1285" t="s">
        <v>42</v>
      </c>
      <c r="D1285" t="s">
        <v>38</v>
      </c>
      <c r="E1285" t="s">
        <v>39</v>
      </c>
      <c r="F1285">
        <v>72783.02</v>
      </c>
    </row>
    <row r="1286" spans="1:6" x14ac:dyDescent="0.3">
      <c r="A1286">
        <v>2024</v>
      </c>
      <c r="B1286">
        <v>5</v>
      </c>
      <c r="C1286" t="s">
        <v>43</v>
      </c>
      <c r="D1286" t="s">
        <v>38</v>
      </c>
      <c r="E1286" t="s">
        <v>39</v>
      </c>
      <c r="F1286">
        <v>84599.01</v>
      </c>
    </row>
    <row r="1287" spans="1:6" x14ac:dyDescent="0.3">
      <c r="A1287">
        <v>2024</v>
      </c>
      <c r="B1287">
        <v>5</v>
      </c>
      <c r="C1287" t="s">
        <v>44</v>
      </c>
      <c r="D1287" t="s">
        <v>38</v>
      </c>
      <c r="E1287" t="s">
        <v>39</v>
      </c>
      <c r="F1287">
        <v>50162</v>
      </c>
    </row>
    <row r="1288" spans="1:6" x14ac:dyDescent="0.3">
      <c r="A1288">
        <v>2024</v>
      </c>
      <c r="B1288">
        <v>5</v>
      </c>
      <c r="C1288" t="s">
        <v>45</v>
      </c>
      <c r="D1288" t="s">
        <v>38</v>
      </c>
      <c r="E1288" t="s">
        <v>39</v>
      </c>
      <c r="F1288">
        <v>73218.2</v>
      </c>
    </row>
    <row r="1289" spans="1:6" x14ac:dyDescent="0.3">
      <c r="A1289">
        <v>2024</v>
      </c>
      <c r="B1289">
        <v>5</v>
      </c>
      <c r="C1289" t="s">
        <v>37</v>
      </c>
      <c r="D1289" t="s">
        <v>38</v>
      </c>
      <c r="E1289" t="s">
        <v>46</v>
      </c>
      <c r="F1289">
        <v>105446.03</v>
      </c>
    </row>
    <row r="1290" spans="1:6" x14ac:dyDescent="0.3">
      <c r="A1290">
        <v>2024</v>
      </c>
      <c r="B1290">
        <v>5</v>
      </c>
      <c r="C1290" t="s">
        <v>40</v>
      </c>
      <c r="D1290" t="s">
        <v>38</v>
      </c>
      <c r="E1290" t="s">
        <v>46</v>
      </c>
      <c r="F1290">
        <v>44367.01</v>
      </c>
    </row>
    <row r="1291" spans="1:6" x14ac:dyDescent="0.3">
      <c r="A1291">
        <v>2024</v>
      </c>
      <c r="B1291">
        <v>5</v>
      </c>
      <c r="C1291" t="s">
        <v>41</v>
      </c>
      <c r="D1291" t="s">
        <v>38</v>
      </c>
      <c r="E1291" t="s">
        <v>46</v>
      </c>
      <c r="F1291">
        <v>86763.24</v>
      </c>
    </row>
    <row r="1292" spans="1:6" x14ac:dyDescent="0.3">
      <c r="A1292">
        <v>2024</v>
      </c>
      <c r="B1292">
        <v>5</v>
      </c>
      <c r="C1292" t="s">
        <v>42</v>
      </c>
      <c r="D1292" t="s">
        <v>38</v>
      </c>
      <c r="E1292" t="s">
        <v>46</v>
      </c>
      <c r="F1292">
        <v>81310.64</v>
      </c>
    </row>
    <row r="1293" spans="1:6" x14ac:dyDescent="0.3">
      <c r="A1293">
        <v>2024</v>
      </c>
      <c r="B1293">
        <v>5</v>
      </c>
      <c r="C1293" t="s">
        <v>43</v>
      </c>
      <c r="D1293" t="s">
        <v>38</v>
      </c>
      <c r="E1293" t="s">
        <v>46</v>
      </c>
      <c r="F1293">
        <v>68547.61</v>
      </c>
    </row>
    <row r="1294" spans="1:6" x14ac:dyDescent="0.3">
      <c r="A1294">
        <v>2024</v>
      </c>
      <c r="B1294">
        <v>5</v>
      </c>
      <c r="C1294" t="s">
        <v>44</v>
      </c>
      <c r="D1294" t="s">
        <v>38</v>
      </c>
      <c r="E1294" t="s">
        <v>46</v>
      </c>
      <c r="F1294">
        <v>47184.58</v>
      </c>
    </row>
    <row r="1295" spans="1:6" x14ac:dyDescent="0.3">
      <c r="A1295">
        <v>2024</v>
      </c>
      <c r="B1295">
        <v>5</v>
      </c>
      <c r="C1295" t="s">
        <v>45</v>
      </c>
      <c r="D1295" t="s">
        <v>38</v>
      </c>
      <c r="E1295" t="s">
        <v>46</v>
      </c>
      <c r="F1295">
        <v>77937.600000000006</v>
      </c>
    </row>
    <row r="1296" spans="1:6" x14ac:dyDescent="0.3">
      <c r="A1296">
        <v>2024</v>
      </c>
      <c r="B1296">
        <v>5</v>
      </c>
      <c r="C1296" t="s">
        <v>37</v>
      </c>
      <c r="D1296" t="s">
        <v>38</v>
      </c>
      <c r="E1296" t="s">
        <v>47</v>
      </c>
      <c r="F1296">
        <v>24726.93</v>
      </c>
    </row>
    <row r="1297" spans="1:6" x14ac:dyDescent="0.3">
      <c r="A1297">
        <v>2024</v>
      </c>
      <c r="B1297">
        <v>5</v>
      </c>
      <c r="C1297" t="s">
        <v>40</v>
      </c>
      <c r="D1297" t="s">
        <v>38</v>
      </c>
      <c r="E1297" t="s">
        <v>47</v>
      </c>
      <c r="F1297">
        <v>113537.91</v>
      </c>
    </row>
    <row r="1298" spans="1:6" x14ac:dyDescent="0.3">
      <c r="A1298">
        <v>2024</v>
      </c>
      <c r="B1298">
        <v>5</v>
      </c>
      <c r="C1298" t="s">
        <v>41</v>
      </c>
      <c r="D1298" t="s">
        <v>38</v>
      </c>
      <c r="E1298" t="s">
        <v>47</v>
      </c>
      <c r="F1298">
        <v>69425.960000000006</v>
      </c>
    </row>
    <row r="1299" spans="1:6" x14ac:dyDescent="0.3">
      <c r="A1299">
        <v>2024</v>
      </c>
      <c r="B1299">
        <v>5</v>
      </c>
      <c r="C1299" t="s">
        <v>42</v>
      </c>
      <c r="D1299" t="s">
        <v>38</v>
      </c>
      <c r="E1299" t="s">
        <v>47</v>
      </c>
      <c r="F1299">
        <v>81202.399999999994</v>
      </c>
    </row>
    <row r="1300" spans="1:6" x14ac:dyDescent="0.3">
      <c r="A1300">
        <v>2024</v>
      </c>
      <c r="B1300">
        <v>5</v>
      </c>
      <c r="C1300" t="s">
        <v>43</v>
      </c>
      <c r="D1300" t="s">
        <v>38</v>
      </c>
      <c r="E1300" t="s">
        <v>47</v>
      </c>
      <c r="F1300">
        <v>33374.9</v>
      </c>
    </row>
    <row r="1301" spans="1:6" x14ac:dyDescent="0.3">
      <c r="A1301">
        <v>2024</v>
      </c>
      <c r="B1301">
        <v>5</v>
      </c>
      <c r="C1301" t="s">
        <v>44</v>
      </c>
      <c r="D1301" t="s">
        <v>38</v>
      </c>
      <c r="E1301" t="s">
        <v>47</v>
      </c>
      <c r="F1301">
        <v>31506.01</v>
      </c>
    </row>
    <row r="1302" spans="1:6" x14ac:dyDescent="0.3">
      <c r="A1302">
        <v>2024</v>
      </c>
      <c r="B1302">
        <v>5</v>
      </c>
      <c r="C1302" t="s">
        <v>45</v>
      </c>
      <c r="D1302" t="s">
        <v>38</v>
      </c>
      <c r="E1302" t="s">
        <v>47</v>
      </c>
      <c r="F1302">
        <v>76570.7</v>
      </c>
    </row>
    <row r="1303" spans="1:6" x14ac:dyDescent="0.3">
      <c r="A1303">
        <v>2024</v>
      </c>
      <c r="B1303">
        <v>5</v>
      </c>
      <c r="C1303" t="s">
        <v>37</v>
      </c>
      <c r="D1303" t="s">
        <v>48</v>
      </c>
      <c r="E1303" t="s">
        <v>49</v>
      </c>
      <c r="F1303">
        <v>94803.89</v>
      </c>
    </row>
    <row r="1304" spans="1:6" x14ac:dyDescent="0.3">
      <c r="A1304">
        <v>2024</v>
      </c>
      <c r="B1304">
        <v>5</v>
      </c>
      <c r="C1304" t="s">
        <v>40</v>
      </c>
      <c r="D1304" t="s">
        <v>48</v>
      </c>
      <c r="E1304" t="s">
        <v>49</v>
      </c>
      <c r="F1304">
        <v>106246.37</v>
      </c>
    </row>
    <row r="1305" spans="1:6" x14ac:dyDescent="0.3">
      <c r="A1305">
        <v>2024</v>
      </c>
      <c r="B1305">
        <v>5</v>
      </c>
      <c r="C1305" t="s">
        <v>41</v>
      </c>
      <c r="D1305" t="s">
        <v>48</v>
      </c>
      <c r="E1305" t="s">
        <v>49</v>
      </c>
      <c r="F1305">
        <v>46481.47</v>
      </c>
    </row>
    <row r="1306" spans="1:6" x14ac:dyDescent="0.3">
      <c r="A1306">
        <v>2024</v>
      </c>
      <c r="B1306">
        <v>5</v>
      </c>
      <c r="C1306" t="s">
        <v>42</v>
      </c>
      <c r="D1306" t="s">
        <v>48</v>
      </c>
      <c r="E1306" t="s">
        <v>49</v>
      </c>
      <c r="F1306">
        <v>78286.94</v>
      </c>
    </row>
    <row r="1307" spans="1:6" x14ac:dyDescent="0.3">
      <c r="A1307">
        <v>2024</v>
      </c>
      <c r="B1307">
        <v>5</v>
      </c>
      <c r="C1307" t="s">
        <v>43</v>
      </c>
      <c r="D1307" t="s">
        <v>48</v>
      </c>
      <c r="E1307" t="s">
        <v>49</v>
      </c>
      <c r="F1307">
        <v>26587.8</v>
      </c>
    </row>
    <row r="1308" spans="1:6" x14ac:dyDescent="0.3">
      <c r="A1308">
        <v>2024</v>
      </c>
      <c r="B1308">
        <v>5</v>
      </c>
      <c r="C1308" t="s">
        <v>44</v>
      </c>
      <c r="D1308" t="s">
        <v>48</v>
      </c>
      <c r="E1308" t="s">
        <v>49</v>
      </c>
      <c r="F1308">
        <v>63268.51</v>
      </c>
    </row>
    <row r="1309" spans="1:6" x14ac:dyDescent="0.3">
      <c r="A1309">
        <v>2024</v>
      </c>
      <c r="B1309">
        <v>5</v>
      </c>
      <c r="C1309" t="s">
        <v>45</v>
      </c>
      <c r="D1309" t="s">
        <v>48</v>
      </c>
      <c r="E1309" t="s">
        <v>49</v>
      </c>
      <c r="F1309">
        <v>63493.91</v>
      </c>
    </row>
    <row r="1310" spans="1:6" x14ac:dyDescent="0.3">
      <c r="A1310">
        <v>2024</v>
      </c>
      <c r="B1310">
        <v>5</v>
      </c>
      <c r="C1310" t="s">
        <v>37</v>
      </c>
      <c r="D1310" t="s">
        <v>48</v>
      </c>
      <c r="E1310" t="s">
        <v>50</v>
      </c>
      <c r="F1310">
        <v>24749.41</v>
      </c>
    </row>
    <row r="1311" spans="1:6" x14ac:dyDescent="0.3">
      <c r="A1311">
        <v>2024</v>
      </c>
      <c r="B1311">
        <v>5</v>
      </c>
      <c r="C1311" t="s">
        <v>40</v>
      </c>
      <c r="D1311" t="s">
        <v>48</v>
      </c>
      <c r="E1311" t="s">
        <v>50</v>
      </c>
      <c r="F1311">
        <v>49443.33</v>
      </c>
    </row>
    <row r="1312" spans="1:6" x14ac:dyDescent="0.3">
      <c r="A1312">
        <v>2024</v>
      </c>
      <c r="B1312">
        <v>5</v>
      </c>
      <c r="C1312" t="s">
        <v>41</v>
      </c>
      <c r="D1312" t="s">
        <v>48</v>
      </c>
      <c r="E1312" t="s">
        <v>50</v>
      </c>
      <c r="F1312">
        <v>56170.68</v>
      </c>
    </row>
    <row r="1313" spans="1:6" x14ac:dyDescent="0.3">
      <c r="A1313">
        <v>2024</v>
      </c>
      <c r="B1313">
        <v>5</v>
      </c>
      <c r="C1313" t="s">
        <v>42</v>
      </c>
      <c r="D1313" t="s">
        <v>48</v>
      </c>
      <c r="E1313" t="s">
        <v>50</v>
      </c>
      <c r="F1313">
        <v>35301.86</v>
      </c>
    </row>
    <row r="1314" spans="1:6" x14ac:dyDescent="0.3">
      <c r="A1314">
        <v>2024</v>
      </c>
      <c r="B1314">
        <v>5</v>
      </c>
      <c r="C1314" t="s">
        <v>43</v>
      </c>
      <c r="D1314" t="s">
        <v>48</v>
      </c>
      <c r="E1314" t="s">
        <v>50</v>
      </c>
      <c r="F1314">
        <v>33136.199999999997</v>
      </c>
    </row>
    <row r="1315" spans="1:6" x14ac:dyDescent="0.3">
      <c r="A1315">
        <v>2024</v>
      </c>
      <c r="B1315">
        <v>5</v>
      </c>
      <c r="C1315" t="s">
        <v>44</v>
      </c>
      <c r="D1315" t="s">
        <v>48</v>
      </c>
      <c r="E1315" t="s">
        <v>50</v>
      </c>
      <c r="F1315">
        <v>36370.81</v>
      </c>
    </row>
    <row r="1316" spans="1:6" x14ac:dyDescent="0.3">
      <c r="A1316">
        <v>2024</v>
      </c>
      <c r="B1316">
        <v>5</v>
      </c>
      <c r="C1316" t="s">
        <v>45</v>
      </c>
      <c r="D1316" t="s">
        <v>48</v>
      </c>
      <c r="E1316" t="s">
        <v>50</v>
      </c>
      <c r="F1316">
        <v>109907.77</v>
      </c>
    </row>
    <row r="1317" spans="1:6" x14ac:dyDescent="0.3">
      <c r="A1317">
        <v>2024</v>
      </c>
      <c r="B1317">
        <v>5</v>
      </c>
      <c r="C1317" t="s">
        <v>37</v>
      </c>
      <c r="D1317" t="s">
        <v>48</v>
      </c>
      <c r="E1317" t="s">
        <v>51</v>
      </c>
      <c r="F1317">
        <v>89918.75</v>
      </c>
    </row>
    <row r="1318" spans="1:6" x14ac:dyDescent="0.3">
      <c r="A1318">
        <v>2024</v>
      </c>
      <c r="B1318">
        <v>5</v>
      </c>
      <c r="C1318" t="s">
        <v>40</v>
      </c>
      <c r="D1318" t="s">
        <v>48</v>
      </c>
      <c r="E1318" t="s">
        <v>51</v>
      </c>
      <c r="F1318">
        <v>29644.65</v>
      </c>
    </row>
    <row r="1319" spans="1:6" x14ac:dyDescent="0.3">
      <c r="A1319">
        <v>2024</v>
      </c>
      <c r="B1319">
        <v>5</v>
      </c>
      <c r="C1319" t="s">
        <v>41</v>
      </c>
      <c r="D1319" t="s">
        <v>48</v>
      </c>
      <c r="E1319" t="s">
        <v>51</v>
      </c>
      <c r="F1319">
        <v>86913.74</v>
      </c>
    </row>
    <row r="1320" spans="1:6" x14ac:dyDescent="0.3">
      <c r="A1320">
        <v>2024</v>
      </c>
      <c r="B1320">
        <v>5</v>
      </c>
      <c r="C1320" t="s">
        <v>42</v>
      </c>
      <c r="D1320" t="s">
        <v>48</v>
      </c>
      <c r="E1320" t="s">
        <v>51</v>
      </c>
      <c r="F1320">
        <v>78854.91</v>
      </c>
    </row>
    <row r="1321" spans="1:6" x14ac:dyDescent="0.3">
      <c r="A1321">
        <v>2024</v>
      </c>
      <c r="B1321">
        <v>5</v>
      </c>
      <c r="C1321" t="s">
        <v>43</v>
      </c>
      <c r="D1321" t="s">
        <v>48</v>
      </c>
      <c r="E1321" t="s">
        <v>51</v>
      </c>
      <c r="F1321">
        <v>22028.23</v>
      </c>
    </row>
    <row r="1322" spans="1:6" x14ac:dyDescent="0.3">
      <c r="A1322">
        <v>2024</v>
      </c>
      <c r="B1322">
        <v>5</v>
      </c>
      <c r="C1322" t="s">
        <v>44</v>
      </c>
      <c r="D1322" t="s">
        <v>48</v>
      </c>
      <c r="E1322" t="s">
        <v>51</v>
      </c>
      <c r="F1322">
        <v>39824.019999999997</v>
      </c>
    </row>
    <row r="1323" spans="1:6" x14ac:dyDescent="0.3">
      <c r="A1323">
        <v>2024</v>
      </c>
      <c r="B1323">
        <v>5</v>
      </c>
      <c r="C1323" t="s">
        <v>45</v>
      </c>
      <c r="D1323" t="s">
        <v>48</v>
      </c>
      <c r="E1323" t="s">
        <v>51</v>
      </c>
      <c r="F1323">
        <v>38142.14</v>
      </c>
    </row>
    <row r="1324" spans="1:6" x14ac:dyDescent="0.3">
      <c r="A1324">
        <v>2024</v>
      </c>
      <c r="B1324">
        <v>5</v>
      </c>
      <c r="C1324" t="s">
        <v>37</v>
      </c>
      <c r="D1324" t="s">
        <v>48</v>
      </c>
      <c r="E1324" t="s">
        <v>52</v>
      </c>
      <c r="F1324">
        <v>12063.13</v>
      </c>
    </row>
    <row r="1325" spans="1:6" x14ac:dyDescent="0.3">
      <c r="A1325">
        <v>2024</v>
      </c>
      <c r="B1325">
        <v>5</v>
      </c>
      <c r="C1325" t="s">
        <v>40</v>
      </c>
      <c r="D1325" t="s">
        <v>48</v>
      </c>
      <c r="E1325" t="s">
        <v>52</v>
      </c>
      <c r="F1325">
        <v>88211.93</v>
      </c>
    </row>
    <row r="1326" spans="1:6" x14ac:dyDescent="0.3">
      <c r="A1326">
        <v>2024</v>
      </c>
      <c r="B1326">
        <v>5</v>
      </c>
      <c r="C1326" t="s">
        <v>41</v>
      </c>
      <c r="D1326" t="s">
        <v>48</v>
      </c>
      <c r="E1326" t="s">
        <v>52</v>
      </c>
      <c r="F1326">
        <v>52864.79</v>
      </c>
    </row>
    <row r="1327" spans="1:6" x14ac:dyDescent="0.3">
      <c r="A1327">
        <v>2024</v>
      </c>
      <c r="B1327">
        <v>5</v>
      </c>
      <c r="C1327" t="s">
        <v>42</v>
      </c>
      <c r="D1327" t="s">
        <v>48</v>
      </c>
      <c r="E1327" t="s">
        <v>52</v>
      </c>
      <c r="F1327">
        <v>78555.56</v>
      </c>
    </row>
    <row r="1328" spans="1:6" x14ac:dyDescent="0.3">
      <c r="A1328">
        <v>2024</v>
      </c>
      <c r="B1328">
        <v>5</v>
      </c>
      <c r="C1328" t="s">
        <v>43</v>
      </c>
      <c r="D1328" t="s">
        <v>48</v>
      </c>
      <c r="E1328" t="s">
        <v>52</v>
      </c>
      <c r="F1328">
        <v>42444.44</v>
      </c>
    </row>
    <row r="1329" spans="1:6" x14ac:dyDescent="0.3">
      <c r="A1329">
        <v>2024</v>
      </c>
      <c r="B1329">
        <v>5</v>
      </c>
      <c r="C1329" t="s">
        <v>44</v>
      </c>
      <c r="D1329" t="s">
        <v>48</v>
      </c>
      <c r="E1329" t="s">
        <v>52</v>
      </c>
      <c r="F1329">
        <v>73787.350000000006</v>
      </c>
    </row>
    <row r="1330" spans="1:6" x14ac:dyDescent="0.3">
      <c r="A1330">
        <v>2024</v>
      </c>
      <c r="B1330">
        <v>5</v>
      </c>
      <c r="C1330" t="s">
        <v>45</v>
      </c>
      <c r="D1330" t="s">
        <v>48</v>
      </c>
      <c r="E1330" t="s">
        <v>52</v>
      </c>
      <c r="F1330">
        <v>100071.44</v>
      </c>
    </row>
    <row r="1331" spans="1:6" x14ac:dyDescent="0.3">
      <c r="A1331">
        <v>2024</v>
      </c>
      <c r="B1331">
        <v>5</v>
      </c>
      <c r="C1331" t="s">
        <v>37</v>
      </c>
      <c r="D1331" t="s">
        <v>48</v>
      </c>
      <c r="E1331" t="s">
        <v>53</v>
      </c>
      <c r="F1331">
        <v>124342.12</v>
      </c>
    </row>
    <row r="1332" spans="1:6" x14ac:dyDescent="0.3">
      <c r="A1332">
        <v>2024</v>
      </c>
      <c r="B1332">
        <v>5</v>
      </c>
      <c r="C1332" t="s">
        <v>40</v>
      </c>
      <c r="D1332" t="s">
        <v>48</v>
      </c>
      <c r="E1332" t="s">
        <v>53</v>
      </c>
      <c r="F1332">
        <v>68023.039999999994</v>
      </c>
    </row>
    <row r="1333" spans="1:6" x14ac:dyDescent="0.3">
      <c r="A1333">
        <v>2024</v>
      </c>
      <c r="B1333">
        <v>5</v>
      </c>
      <c r="C1333" t="s">
        <v>41</v>
      </c>
      <c r="D1333" t="s">
        <v>48</v>
      </c>
      <c r="E1333" t="s">
        <v>53</v>
      </c>
      <c r="F1333">
        <v>106453</v>
      </c>
    </row>
    <row r="1334" spans="1:6" x14ac:dyDescent="0.3">
      <c r="A1334">
        <v>2024</v>
      </c>
      <c r="B1334">
        <v>5</v>
      </c>
      <c r="C1334" t="s">
        <v>42</v>
      </c>
      <c r="D1334" t="s">
        <v>48</v>
      </c>
      <c r="E1334" t="s">
        <v>53</v>
      </c>
      <c r="F1334">
        <v>57460.54</v>
      </c>
    </row>
    <row r="1335" spans="1:6" x14ac:dyDescent="0.3">
      <c r="A1335">
        <v>2024</v>
      </c>
      <c r="B1335">
        <v>5</v>
      </c>
      <c r="C1335" t="s">
        <v>43</v>
      </c>
      <c r="D1335" t="s">
        <v>48</v>
      </c>
      <c r="E1335" t="s">
        <v>53</v>
      </c>
      <c r="F1335">
        <v>26333.81</v>
      </c>
    </row>
    <row r="1336" spans="1:6" x14ac:dyDescent="0.3">
      <c r="A1336">
        <v>2024</v>
      </c>
      <c r="B1336">
        <v>5</v>
      </c>
      <c r="C1336" t="s">
        <v>44</v>
      </c>
      <c r="D1336" t="s">
        <v>48</v>
      </c>
      <c r="E1336" t="s">
        <v>53</v>
      </c>
      <c r="F1336">
        <v>38853.39</v>
      </c>
    </row>
    <row r="1337" spans="1:6" x14ac:dyDescent="0.3">
      <c r="A1337">
        <v>2024</v>
      </c>
      <c r="B1337">
        <v>5</v>
      </c>
      <c r="C1337" t="s">
        <v>45</v>
      </c>
      <c r="D1337" t="s">
        <v>48</v>
      </c>
      <c r="E1337" t="s">
        <v>53</v>
      </c>
      <c r="F1337">
        <v>143372.84</v>
      </c>
    </row>
    <row r="1338" spans="1:6" x14ac:dyDescent="0.3">
      <c r="A1338">
        <v>2024</v>
      </c>
      <c r="B1338">
        <v>5</v>
      </c>
      <c r="C1338" t="s">
        <v>37</v>
      </c>
      <c r="D1338" t="s">
        <v>48</v>
      </c>
      <c r="E1338" t="s">
        <v>54</v>
      </c>
      <c r="F1338">
        <v>12713.31</v>
      </c>
    </row>
    <row r="1339" spans="1:6" x14ac:dyDescent="0.3">
      <c r="A1339">
        <v>2024</v>
      </c>
      <c r="B1339">
        <v>5</v>
      </c>
      <c r="C1339" t="s">
        <v>40</v>
      </c>
      <c r="D1339" t="s">
        <v>48</v>
      </c>
      <c r="E1339" t="s">
        <v>54</v>
      </c>
      <c r="F1339">
        <v>59587.58</v>
      </c>
    </row>
    <row r="1340" spans="1:6" x14ac:dyDescent="0.3">
      <c r="A1340">
        <v>2024</v>
      </c>
      <c r="B1340">
        <v>5</v>
      </c>
      <c r="C1340" t="s">
        <v>41</v>
      </c>
      <c r="D1340" t="s">
        <v>48</v>
      </c>
      <c r="E1340" t="s">
        <v>54</v>
      </c>
      <c r="F1340">
        <v>24426.62</v>
      </c>
    </row>
    <row r="1341" spans="1:6" x14ac:dyDescent="0.3">
      <c r="A1341">
        <v>2024</v>
      </c>
      <c r="B1341">
        <v>5</v>
      </c>
      <c r="C1341" t="s">
        <v>42</v>
      </c>
      <c r="D1341" t="s">
        <v>48</v>
      </c>
      <c r="E1341" t="s">
        <v>54</v>
      </c>
      <c r="F1341">
        <v>63689.94</v>
      </c>
    </row>
    <row r="1342" spans="1:6" x14ac:dyDescent="0.3">
      <c r="A1342">
        <v>2024</v>
      </c>
      <c r="B1342">
        <v>5</v>
      </c>
      <c r="C1342" t="s">
        <v>43</v>
      </c>
      <c r="D1342" t="s">
        <v>48</v>
      </c>
      <c r="E1342" t="s">
        <v>54</v>
      </c>
      <c r="F1342">
        <v>31568.52</v>
      </c>
    </row>
    <row r="1343" spans="1:6" x14ac:dyDescent="0.3">
      <c r="A1343">
        <v>2024</v>
      </c>
      <c r="B1343">
        <v>5</v>
      </c>
      <c r="C1343" t="s">
        <v>44</v>
      </c>
      <c r="D1343" t="s">
        <v>48</v>
      </c>
      <c r="E1343" t="s">
        <v>54</v>
      </c>
      <c r="F1343">
        <v>50782.5</v>
      </c>
    </row>
    <row r="1344" spans="1:6" x14ac:dyDescent="0.3">
      <c r="A1344">
        <v>2024</v>
      </c>
      <c r="B1344">
        <v>5</v>
      </c>
      <c r="C1344" t="s">
        <v>45</v>
      </c>
      <c r="D1344" t="s">
        <v>48</v>
      </c>
      <c r="E1344" t="s">
        <v>54</v>
      </c>
      <c r="F1344">
        <v>116628.29</v>
      </c>
    </row>
    <row r="1345" spans="1:6" x14ac:dyDescent="0.3">
      <c r="A1345">
        <v>2024</v>
      </c>
      <c r="B1345">
        <v>5</v>
      </c>
      <c r="C1345" t="s">
        <v>37</v>
      </c>
      <c r="D1345" t="s">
        <v>48</v>
      </c>
      <c r="E1345" t="s">
        <v>55</v>
      </c>
      <c r="F1345">
        <v>128095.92</v>
      </c>
    </row>
    <row r="1346" spans="1:6" x14ac:dyDescent="0.3">
      <c r="A1346">
        <v>2024</v>
      </c>
      <c r="B1346">
        <v>5</v>
      </c>
      <c r="C1346" t="s">
        <v>40</v>
      </c>
      <c r="D1346" t="s">
        <v>48</v>
      </c>
      <c r="E1346" t="s">
        <v>55</v>
      </c>
      <c r="F1346">
        <v>23124.33</v>
      </c>
    </row>
    <row r="1347" spans="1:6" x14ac:dyDescent="0.3">
      <c r="A1347">
        <v>2024</v>
      </c>
      <c r="B1347">
        <v>5</v>
      </c>
      <c r="C1347" t="s">
        <v>41</v>
      </c>
      <c r="D1347" t="s">
        <v>48</v>
      </c>
      <c r="E1347" t="s">
        <v>55</v>
      </c>
      <c r="F1347">
        <v>85614.66</v>
      </c>
    </row>
    <row r="1348" spans="1:6" x14ac:dyDescent="0.3">
      <c r="A1348">
        <v>2024</v>
      </c>
      <c r="B1348">
        <v>5</v>
      </c>
      <c r="C1348" t="s">
        <v>42</v>
      </c>
      <c r="D1348" t="s">
        <v>48</v>
      </c>
      <c r="E1348" t="s">
        <v>55</v>
      </c>
      <c r="F1348">
        <v>59629.05</v>
      </c>
    </row>
    <row r="1349" spans="1:6" x14ac:dyDescent="0.3">
      <c r="A1349">
        <v>2024</v>
      </c>
      <c r="B1349">
        <v>5</v>
      </c>
      <c r="C1349" t="s">
        <v>43</v>
      </c>
      <c r="D1349" t="s">
        <v>48</v>
      </c>
      <c r="E1349" t="s">
        <v>55</v>
      </c>
      <c r="F1349">
        <v>140298.54</v>
      </c>
    </row>
    <row r="1350" spans="1:6" x14ac:dyDescent="0.3">
      <c r="A1350">
        <v>2024</v>
      </c>
      <c r="B1350">
        <v>5</v>
      </c>
      <c r="C1350" t="s">
        <v>44</v>
      </c>
      <c r="D1350" t="s">
        <v>48</v>
      </c>
      <c r="E1350" t="s">
        <v>55</v>
      </c>
      <c r="F1350">
        <v>55122.57</v>
      </c>
    </row>
    <row r="1351" spans="1:6" x14ac:dyDescent="0.3">
      <c r="A1351">
        <v>2024</v>
      </c>
      <c r="B1351">
        <v>5</v>
      </c>
      <c r="C1351" t="s">
        <v>45</v>
      </c>
      <c r="D1351" t="s">
        <v>48</v>
      </c>
      <c r="E1351" t="s">
        <v>55</v>
      </c>
      <c r="F1351">
        <v>93521.08</v>
      </c>
    </row>
    <row r="1352" spans="1:6" x14ac:dyDescent="0.3">
      <c r="A1352">
        <v>2024</v>
      </c>
      <c r="B1352">
        <v>5</v>
      </c>
      <c r="C1352" t="s">
        <v>37</v>
      </c>
      <c r="D1352" t="s">
        <v>48</v>
      </c>
      <c r="E1352" t="s">
        <v>56</v>
      </c>
      <c r="F1352">
        <v>104728.68</v>
      </c>
    </row>
    <row r="1353" spans="1:6" x14ac:dyDescent="0.3">
      <c r="A1353">
        <v>2024</v>
      </c>
      <c r="B1353">
        <v>5</v>
      </c>
      <c r="C1353" t="s">
        <v>40</v>
      </c>
      <c r="D1353" t="s">
        <v>48</v>
      </c>
      <c r="E1353" t="s">
        <v>56</v>
      </c>
      <c r="F1353">
        <v>83554.25</v>
      </c>
    </row>
    <row r="1354" spans="1:6" x14ac:dyDescent="0.3">
      <c r="A1354">
        <v>2024</v>
      </c>
      <c r="B1354">
        <v>5</v>
      </c>
      <c r="C1354" t="s">
        <v>41</v>
      </c>
      <c r="D1354" t="s">
        <v>48</v>
      </c>
      <c r="E1354" t="s">
        <v>56</v>
      </c>
      <c r="F1354">
        <v>93094.75</v>
      </c>
    </row>
    <row r="1355" spans="1:6" x14ac:dyDescent="0.3">
      <c r="A1355">
        <v>2024</v>
      </c>
      <c r="B1355">
        <v>5</v>
      </c>
      <c r="C1355" t="s">
        <v>42</v>
      </c>
      <c r="D1355" t="s">
        <v>48</v>
      </c>
      <c r="E1355" t="s">
        <v>56</v>
      </c>
      <c r="F1355">
        <v>87010.19</v>
      </c>
    </row>
    <row r="1356" spans="1:6" x14ac:dyDescent="0.3">
      <c r="A1356">
        <v>2024</v>
      </c>
      <c r="B1356">
        <v>5</v>
      </c>
      <c r="C1356" t="s">
        <v>43</v>
      </c>
      <c r="D1356" t="s">
        <v>48</v>
      </c>
      <c r="E1356" t="s">
        <v>56</v>
      </c>
      <c r="F1356">
        <v>92226.38</v>
      </c>
    </row>
    <row r="1357" spans="1:6" x14ac:dyDescent="0.3">
      <c r="A1357">
        <v>2024</v>
      </c>
      <c r="B1357">
        <v>5</v>
      </c>
      <c r="C1357" t="s">
        <v>44</v>
      </c>
      <c r="D1357" t="s">
        <v>48</v>
      </c>
      <c r="E1357" t="s">
        <v>56</v>
      </c>
      <c r="F1357">
        <v>27667.9</v>
      </c>
    </row>
    <row r="1358" spans="1:6" x14ac:dyDescent="0.3">
      <c r="A1358">
        <v>2024</v>
      </c>
      <c r="B1358">
        <v>5</v>
      </c>
      <c r="C1358" t="s">
        <v>45</v>
      </c>
      <c r="D1358" t="s">
        <v>48</v>
      </c>
      <c r="E1358" t="s">
        <v>56</v>
      </c>
      <c r="F1358">
        <v>53034.11</v>
      </c>
    </row>
    <row r="1359" spans="1:6" x14ac:dyDescent="0.3">
      <c r="A1359">
        <v>2024</v>
      </c>
      <c r="B1359">
        <v>5</v>
      </c>
      <c r="C1359" t="s">
        <v>37</v>
      </c>
      <c r="D1359" t="s">
        <v>57</v>
      </c>
      <c r="E1359" t="s">
        <v>58</v>
      </c>
      <c r="F1359">
        <v>71750.02</v>
      </c>
    </row>
    <row r="1360" spans="1:6" x14ac:dyDescent="0.3">
      <c r="A1360">
        <v>2024</v>
      </c>
      <c r="B1360">
        <v>5</v>
      </c>
      <c r="C1360" t="s">
        <v>37</v>
      </c>
      <c r="D1360" t="s">
        <v>57</v>
      </c>
      <c r="E1360" t="s">
        <v>59</v>
      </c>
      <c r="F1360">
        <v>37745.29</v>
      </c>
    </row>
    <row r="1361" spans="1:6" x14ac:dyDescent="0.3">
      <c r="A1361">
        <v>2024</v>
      </c>
      <c r="B1361">
        <v>5</v>
      </c>
      <c r="C1361" t="s">
        <v>37</v>
      </c>
      <c r="D1361" t="s">
        <v>57</v>
      </c>
      <c r="E1361" t="s">
        <v>60</v>
      </c>
      <c r="F1361">
        <v>76660.100000000006</v>
      </c>
    </row>
    <row r="1362" spans="1:6" x14ac:dyDescent="0.3">
      <c r="A1362">
        <v>2024</v>
      </c>
      <c r="B1362">
        <v>6</v>
      </c>
      <c r="C1362" t="s">
        <v>37</v>
      </c>
      <c r="D1362" t="s">
        <v>38</v>
      </c>
      <c r="E1362" t="s">
        <v>39</v>
      </c>
      <c r="F1362">
        <v>113577.04</v>
      </c>
    </row>
    <row r="1363" spans="1:6" x14ac:dyDescent="0.3">
      <c r="A1363">
        <v>2024</v>
      </c>
      <c r="B1363">
        <v>6</v>
      </c>
      <c r="C1363" t="s">
        <v>40</v>
      </c>
      <c r="D1363" t="s">
        <v>38</v>
      </c>
      <c r="E1363" t="s">
        <v>39</v>
      </c>
      <c r="F1363">
        <v>88358.98</v>
      </c>
    </row>
    <row r="1364" spans="1:6" x14ac:dyDescent="0.3">
      <c r="A1364">
        <v>2024</v>
      </c>
      <c r="B1364">
        <v>6</v>
      </c>
      <c r="C1364" t="s">
        <v>41</v>
      </c>
      <c r="D1364" t="s">
        <v>38</v>
      </c>
      <c r="E1364" t="s">
        <v>39</v>
      </c>
      <c r="F1364">
        <v>106686.52</v>
      </c>
    </row>
    <row r="1365" spans="1:6" x14ac:dyDescent="0.3">
      <c r="A1365">
        <v>2024</v>
      </c>
      <c r="B1365">
        <v>6</v>
      </c>
      <c r="C1365" t="s">
        <v>42</v>
      </c>
      <c r="D1365" t="s">
        <v>38</v>
      </c>
      <c r="E1365" t="s">
        <v>39</v>
      </c>
      <c r="F1365">
        <v>88005.62</v>
      </c>
    </row>
    <row r="1366" spans="1:6" x14ac:dyDescent="0.3">
      <c r="A1366">
        <v>2024</v>
      </c>
      <c r="B1366">
        <v>6</v>
      </c>
      <c r="C1366" t="s">
        <v>43</v>
      </c>
      <c r="D1366" t="s">
        <v>38</v>
      </c>
      <c r="E1366" t="s">
        <v>39</v>
      </c>
      <c r="F1366">
        <v>14255.37</v>
      </c>
    </row>
    <row r="1367" spans="1:6" x14ac:dyDescent="0.3">
      <c r="A1367">
        <v>2024</v>
      </c>
      <c r="B1367">
        <v>6</v>
      </c>
      <c r="C1367" t="s">
        <v>44</v>
      </c>
      <c r="D1367" t="s">
        <v>38</v>
      </c>
      <c r="E1367" t="s">
        <v>39</v>
      </c>
      <c r="F1367">
        <v>51227.25</v>
      </c>
    </row>
    <row r="1368" spans="1:6" x14ac:dyDescent="0.3">
      <c r="A1368">
        <v>2024</v>
      </c>
      <c r="B1368">
        <v>6</v>
      </c>
      <c r="C1368" t="s">
        <v>45</v>
      </c>
      <c r="D1368" t="s">
        <v>38</v>
      </c>
      <c r="E1368" t="s">
        <v>39</v>
      </c>
      <c r="F1368">
        <v>25982.99</v>
      </c>
    </row>
    <row r="1369" spans="1:6" x14ac:dyDescent="0.3">
      <c r="A1369">
        <v>2024</v>
      </c>
      <c r="B1369">
        <v>6</v>
      </c>
      <c r="C1369" t="s">
        <v>37</v>
      </c>
      <c r="D1369" t="s">
        <v>38</v>
      </c>
      <c r="E1369" t="s">
        <v>46</v>
      </c>
      <c r="F1369">
        <v>28709.4</v>
      </c>
    </row>
    <row r="1370" spans="1:6" x14ac:dyDescent="0.3">
      <c r="A1370">
        <v>2024</v>
      </c>
      <c r="B1370">
        <v>6</v>
      </c>
      <c r="C1370" t="s">
        <v>40</v>
      </c>
      <c r="D1370" t="s">
        <v>38</v>
      </c>
      <c r="E1370" t="s">
        <v>46</v>
      </c>
      <c r="F1370">
        <v>79688.990000000005</v>
      </c>
    </row>
    <row r="1371" spans="1:6" x14ac:dyDescent="0.3">
      <c r="A1371">
        <v>2024</v>
      </c>
      <c r="B1371">
        <v>6</v>
      </c>
      <c r="C1371" t="s">
        <v>41</v>
      </c>
      <c r="D1371" t="s">
        <v>38</v>
      </c>
      <c r="E1371" t="s">
        <v>46</v>
      </c>
      <c r="F1371">
        <v>79152.83</v>
      </c>
    </row>
    <row r="1372" spans="1:6" x14ac:dyDescent="0.3">
      <c r="A1372">
        <v>2024</v>
      </c>
      <c r="B1372">
        <v>6</v>
      </c>
      <c r="C1372" t="s">
        <v>42</v>
      </c>
      <c r="D1372" t="s">
        <v>38</v>
      </c>
      <c r="E1372" t="s">
        <v>46</v>
      </c>
      <c r="F1372">
        <v>50228.94</v>
      </c>
    </row>
    <row r="1373" spans="1:6" x14ac:dyDescent="0.3">
      <c r="A1373">
        <v>2024</v>
      </c>
      <c r="B1373">
        <v>6</v>
      </c>
      <c r="C1373" t="s">
        <v>43</v>
      </c>
      <c r="D1373" t="s">
        <v>38</v>
      </c>
      <c r="E1373" t="s">
        <v>46</v>
      </c>
      <c r="F1373">
        <v>86053.53</v>
      </c>
    </row>
    <row r="1374" spans="1:6" x14ac:dyDescent="0.3">
      <c r="A1374">
        <v>2024</v>
      </c>
      <c r="B1374">
        <v>6</v>
      </c>
      <c r="C1374" t="s">
        <v>44</v>
      </c>
      <c r="D1374" t="s">
        <v>38</v>
      </c>
      <c r="E1374" t="s">
        <v>46</v>
      </c>
      <c r="F1374">
        <v>97191.56</v>
      </c>
    </row>
    <row r="1375" spans="1:6" x14ac:dyDescent="0.3">
      <c r="A1375">
        <v>2024</v>
      </c>
      <c r="B1375">
        <v>6</v>
      </c>
      <c r="C1375" t="s">
        <v>45</v>
      </c>
      <c r="D1375" t="s">
        <v>38</v>
      </c>
      <c r="E1375" t="s">
        <v>46</v>
      </c>
      <c r="F1375">
        <v>33374.5</v>
      </c>
    </row>
    <row r="1376" spans="1:6" x14ac:dyDescent="0.3">
      <c r="A1376">
        <v>2024</v>
      </c>
      <c r="B1376">
        <v>6</v>
      </c>
      <c r="C1376" t="s">
        <v>37</v>
      </c>
      <c r="D1376" t="s">
        <v>38</v>
      </c>
      <c r="E1376" t="s">
        <v>47</v>
      </c>
      <c r="F1376">
        <v>63015.89</v>
      </c>
    </row>
    <row r="1377" spans="1:6" x14ac:dyDescent="0.3">
      <c r="A1377">
        <v>2024</v>
      </c>
      <c r="B1377">
        <v>6</v>
      </c>
      <c r="C1377" t="s">
        <v>40</v>
      </c>
      <c r="D1377" t="s">
        <v>38</v>
      </c>
      <c r="E1377" t="s">
        <v>47</v>
      </c>
      <c r="F1377">
        <v>84889.43</v>
      </c>
    </row>
    <row r="1378" spans="1:6" x14ac:dyDescent="0.3">
      <c r="A1378">
        <v>2024</v>
      </c>
      <c r="B1378">
        <v>6</v>
      </c>
      <c r="C1378" t="s">
        <v>41</v>
      </c>
      <c r="D1378" t="s">
        <v>38</v>
      </c>
      <c r="E1378" t="s">
        <v>47</v>
      </c>
      <c r="F1378">
        <v>27747.67</v>
      </c>
    </row>
    <row r="1379" spans="1:6" x14ac:dyDescent="0.3">
      <c r="A1379">
        <v>2024</v>
      </c>
      <c r="B1379">
        <v>6</v>
      </c>
      <c r="C1379" t="s">
        <v>42</v>
      </c>
      <c r="D1379" t="s">
        <v>38</v>
      </c>
      <c r="E1379" t="s">
        <v>47</v>
      </c>
      <c r="F1379">
        <v>62664.28</v>
      </c>
    </row>
    <row r="1380" spans="1:6" x14ac:dyDescent="0.3">
      <c r="A1380">
        <v>2024</v>
      </c>
      <c r="B1380">
        <v>6</v>
      </c>
      <c r="C1380" t="s">
        <v>43</v>
      </c>
      <c r="D1380" t="s">
        <v>38</v>
      </c>
      <c r="E1380" t="s">
        <v>47</v>
      </c>
      <c r="F1380">
        <v>14278.81</v>
      </c>
    </row>
    <row r="1381" spans="1:6" x14ac:dyDescent="0.3">
      <c r="A1381">
        <v>2024</v>
      </c>
      <c r="B1381">
        <v>6</v>
      </c>
      <c r="C1381" t="s">
        <v>44</v>
      </c>
      <c r="D1381" t="s">
        <v>38</v>
      </c>
      <c r="E1381" t="s">
        <v>47</v>
      </c>
      <c r="F1381">
        <v>64598.48</v>
      </c>
    </row>
    <row r="1382" spans="1:6" x14ac:dyDescent="0.3">
      <c r="A1382">
        <v>2024</v>
      </c>
      <c r="B1382">
        <v>6</v>
      </c>
      <c r="C1382" t="s">
        <v>45</v>
      </c>
      <c r="D1382" t="s">
        <v>38</v>
      </c>
      <c r="E1382" t="s">
        <v>47</v>
      </c>
      <c r="F1382">
        <v>108116.21</v>
      </c>
    </row>
    <row r="1383" spans="1:6" x14ac:dyDescent="0.3">
      <c r="A1383">
        <v>2024</v>
      </c>
      <c r="B1383">
        <v>6</v>
      </c>
      <c r="C1383" t="s">
        <v>37</v>
      </c>
      <c r="D1383" t="s">
        <v>48</v>
      </c>
      <c r="E1383" t="s">
        <v>49</v>
      </c>
      <c r="F1383">
        <v>60052.51</v>
      </c>
    </row>
    <row r="1384" spans="1:6" x14ac:dyDescent="0.3">
      <c r="A1384">
        <v>2024</v>
      </c>
      <c r="B1384">
        <v>6</v>
      </c>
      <c r="C1384" t="s">
        <v>40</v>
      </c>
      <c r="D1384" t="s">
        <v>48</v>
      </c>
      <c r="E1384" t="s">
        <v>49</v>
      </c>
      <c r="F1384">
        <v>50690.75</v>
      </c>
    </row>
    <row r="1385" spans="1:6" x14ac:dyDescent="0.3">
      <c r="A1385">
        <v>2024</v>
      </c>
      <c r="B1385">
        <v>6</v>
      </c>
      <c r="C1385" t="s">
        <v>41</v>
      </c>
      <c r="D1385" t="s">
        <v>48</v>
      </c>
      <c r="E1385" t="s">
        <v>49</v>
      </c>
      <c r="F1385">
        <v>113512.98</v>
      </c>
    </row>
    <row r="1386" spans="1:6" x14ac:dyDescent="0.3">
      <c r="A1386">
        <v>2024</v>
      </c>
      <c r="B1386">
        <v>6</v>
      </c>
      <c r="C1386" t="s">
        <v>42</v>
      </c>
      <c r="D1386" t="s">
        <v>48</v>
      </c>
      <c r="E1386" t="s">
        <v>49</v>
      </c>
      <c r="F1386">
        <v>37852.46</v>
      </c>
    </row>
    <row r="1387" spans="1:6" x14ac:dyDescent="0.3">
      <c r="A1387">
        <v>2024</v>
      </c>
      <c r="B1387">
        <v>6</v>
      </c>
      <c r="C1387" t="s">
        <v>43</v>
      </c>
      <c r="D1387" t="s">
        <v>48</v>
      </c>
      <c r="E1387" t="s">
        <v>49</v>
      </c>
      <c r="F1387">
        <v>51850.58</v>
      </c>
    </row>
    <row r="1388" spans="1:6" x14ac:dyDescent="0.3">
      <c r="A1388">
        <v>2024</v>
      </c>
      <c r="B1388">
        <v>6</v>
      </c>
      <c r="C1388" t="s">
        <v>44</v>
      </c>
      <c r="D1388" t="s">
        <v>48</v>
      </c>
      <c r="E1388" t="s">
        <v>49</v>
      </c>
      <c r="F1388">
        <v>51890.74</v>
      </c>
    </row>
    <row r="1389" spans="1:6" x14ac:dyDescent="0.3">
      <c r="A1389">
        <v>2024</v>
      </c>
      <c r="B1389">
        <v>6</v>
      </c>
      <c r="C1389" t="s">
        <v>45</v>
      </c>
      <c r="D1389" t="s">
        <v>48</v>
      </c>
      <c r="E1389" t="s">
        <v>49</v>
      </c>
      <c r="F1389">
        <v>72379.039999999994</v>
      </c>
    </row>
    <row r="1390" spans="1:6" x14ac:dyDescent="0.3">
      <c r="A1390">
        <v>2024</v>
      </c>
      <c r="B1390">
        <v>6</v>
      </c>
      <c r="C1390" t="s">
        <v>37</v>
      </c>
      <c r="D1390" t="s">
        <v>48</v>
      </c>
      <c r="E1390" t="s">
        <v>50</v>
      </c>
      <c r="F1390">
        <v>68962.429999999993</v>
      </c>
    </row>
    <row r="1391" spans="1:6" x14ac:dyDescent="0.3">
      <c r="A1391">
        <v>2024</v>
      </c>
      <c r="B1391">
        <v>6</v>
      </c>
      <c r="C1391" t="s">
        <v>40</v>
      </c>
      <c r="D1391" t="s">
        <v>48</v>
      </c>
      <c r="E1391" t="s">
        <v>50</v>
      </c>
      <c r="F1391">
        <v>120571.29</v>
      </c>
    </row>
    <row r="1392" spans="1:6" x14ac:dyDescent="0.3">
      <c r="A1392">
        <v>2024</v>
      </c>
      <c r="B1392">
        <v>6</v>
      </c>
      <c r="C1392" t="s">
        <v>41</v>
      </c>
      <c r="D1392" t="s">
        <v>48</v>
      </c>
      <c r="E1392" t="s">
        <v>50</v>
      </c>
      <c r="F1392">
        <v>61046.96</v>
      </c>
    </row>
    <row r="1393" spans="1:6" x14ac:dyDescent="0.3">
      <c r="A1393">
        <v>2024</v>
      </c>
      <c r="B1393">
        <v>6</v>
      </c>
      <c r="C1393" t="s">
        <v>42</v>
      </c>
      <c r="D1393" t="s">
        <v>48</v>
      </c>
      <c r="E1393" t="s">
        <v>50</v>
      </c>
      <c r="F1393">
        <v>39058.61</v>
      </c>
    </row>
    <row r="1394" spans="1:6" x14ac:dyDescent="0.3">
      <c r="A1394">
        <v>2024</v>
      </c>
      <c r="B1394">
        <v>6</v>
      </c>
      <c r="C1394" t="s">
        <v>43</v>
      </c>
      <c r="D1394" t="s">
        <v>48</v>
      </c>
      <c r="E1394" t="s">
        <v>50</v>
      </c>
      <c r="F1394">
        <v>16955.509999999998</v>
      </c>
    </row>
    <row r="1395" spans="1:6" x14ac:dyDescent="0.3">
      <c r="A1395">
        <v>2024</v>
      </c>
      <c r="B1395">
        <v>6</v>
      </c>
      <c r="C1395" t="s">
        <v>44</v>
      </c>
      <c r="D1395" t="s">
        <v>48</v>
      </c>
      <c r="E1395" t="s">
        <v>50</v>
      </c>
      <c r="F1395">
        <v>82375.27</v>
      </c>
    </row>
    <row r="1396" spans="1:6" x14ac:dyDescent="0.3">
      <c r="A1396">
        <v>2024</v>
      </c>
      <c r="B1396">
        <v>6</v>
      </c>
      <c r="C1396" t="s">
        <v>45</v>
      </c>
      <c r="D1396" t="s">
        <v>48</v>
      </c>
      <c r="E1396" t="s">
        <v>50</v>
      </c>
      <c r="F1396">
        <v>22102.29</v>
      </c>
    </row>
    <row r="1397" spans="1:6" x14ac:dyDescent="0.3">
      <c r="A1397">
        <v>2024</v>
      </c>
      <c r="B1397">
        <v>6</v>
      </c>
      <c r="C1397" t="s">
        <v>37</v>
      </c>
      <c r="D1397" t="s">
        <v>48</v>
      </c>
      <c r="E1397" t="s">
        <v>51</v>
      </c>
      <c r="F1397">
        <v>108772.66</v>
      </c>
    </row>
    <row r="1398" spans="1:6" x14ac:dyDescent="0.3">
      <c r="A1398">
        <v>2024</v>
      </c>
      <c r="B1398">
        <v>6</v>
      </c>
      <c r="C1398" t="s">
        <v>40</v>
      </c>
      <c r="D1398" t="s">
        <v>48</v>
      </c>
      <c r="E1398" t="s">
        <v>51</v>
      </c>
      <c r="F1398">
        <v>104161.23</v>
      </c>
    </row>
    <row r="1399" spans="1:6" x14ac:dyDescent="0.3">
      <c r="A1399">
        <v>2024</v>
      </c>
      <c r="B1399">
        <v>6</v>
      </c>
      <c r="C1399" t="s">
        <v>41</v>
      </c>
      <c r="D1399" t="s">
        <v>48</v>
      </c>
      <c r="E1399" t="s">
        <v>51</v>
      </c>
      <c r="F1399">
        <v>49300.71</v>
      </c>
    </row>
    <row r="1400" spans="1:6" x14ac:dyDescent="0.3">
      <c r="A1400">
        <v>2024</v>
      </c>
      <c r="B1400">
        <v>6</v>
      </c>
      <c r="C1400" t="s">
        <v>42</v>
      </c>
      <c r="D1400" t="s">
        <v>48</v>
      </c>
      <c r="E1400" t="s">
        <v>51</v>
      </c>
      <c r="F1400">
        <v>78289.009999999995</v>
      </c>
    </row>
    <row r="1401" spans="1:6" x14ac:dyDescent="0.3">
      <c r="A1401">
        <v>2024</v>
      </c>
      <c r="B1401">
        <v>6</v>
      </c>
      <c r="C1401" t="s">
        <v>43</v>
      </c>
      <c r="D1401" t="s">
        <v>48</v>
      </c>
      <c r="E1401" t="s">
        <v>51</v>
      </c>
      <c r="F1401">
        <v>78694.45</v>
      </c>
    </row>
    <row r="1402" spans="1:6" x14ac:dyDescent="0.3">
      <c r="A1402">
        <v>2024</v>
      </c>
      <c r="B1402">
        <v>6</v>
      </c>
      <c r="C1402" t="s">
        <v>44</v>
      </c>
      <c r="D1402" t="s">
        <v>48</v>
      </c>
      <c r="E1402" t="s">
        <v>51</v>
      </c>
      <c r="F1402">
        <v>53595.77</v>
      </c>
    </row>
    <row r="1403" spans="1:6" x14ac:dyDescent="0.3">
      <c r="A1403">
        <v>2024</v>
      </c>
      <c r="B1403">
        <v>6</v>
      </c>
      <c r="C1403" t="s">
        <v>45</v>
      </c>
      <c r="D1403" t="s">
        <v>48</v>
      </c>
      <c r="E1403" t="s">
        <v>51</v>
      </c>
      <c r="F1403">
        <v>21001.96</v>
      </c>
    </row>
    <row r="1404" spans="1:6" x14ac:dyDescent="0.3">
      <c r="A1404">
        <v>2024</v>
      </c>
      <c r="B1404">
        <v>6</v>
      </c>
      <c r="C1404" t="s">
        <v>37</v>
      </c>
      <c r="D1404" t="s">
        <v>48</v>
      </c>
      <c r="E1404" t="s">
        <v>52</v>
      </c>
      <c r="F1404">
        <v>65255.37</v>
      </c>
    </row>
    <row r="1405" spans="1:6" x14ac:dyDescent="0.3">
      <c r="A1405">
        <v>2024</v>
      </c>
      <c r="B1405">
        <v>6</v>
      </c>
      <c r="C1405" t="s">
        <v>40</v>
      </c>
      <c r="D1405" t="s">
        <v>48</v>
      </c>
      <c r="E1405" t="s">
        <v>52</v>
      </c>
      <c r="F1405">
        <v>123564.16</v>
      </c>
    </row>
    <row r="1406" spans="1:6" x14ac:dyDescent="0.3">
      <c r="A1406">
        <v>2024</v>
      </c>
      <c r="B1406">
        <v>6</v>
      </c>
      <c r="C1406" t="s">
        <v>41</v>
      </c>
      <c r="D1406" t="s">
        <v>48</v>
      </c>
      <c r="E1406" t="s">
        <v>52</v>
      </c>
      <c r="F1406">
        <v>50945.59</v>
      </c>
    </row>
    <row r="1407" spans="1:6" x14ac:dyDescent="0.3">
      <c r="A1407">
        <v>2024</v>
      </c>
      <c r="B1407">
        <v>6</v>
      </c>
      <c r="C1407" t="s">
        <v>42</v>
      </c>
      <c r="D1407" t="s">
        <v>48</v>
      </c>
      <c r="E1407" t="s">
        <v>52</v>
      </c>
      <c r="F1407">
        <v>89657.12</v>
      </c>
    </row>
    <row r="1408" spans="1:6" x14ac:dyDescent="0.3">
      <c r="A1408">
        <v>2024</v>
      </c>
      <c r="B1408">
        <v>6</v>
      </c>
      <c r="C1408" t="s">
        <v>43</v>
      </c>
      <c r="D1408" t="s">
        <v>48</v>
      </c>
      <c r="E1408" t="s">
        <v>52</v>
      </c>
      <c r="F1408">
        <v>99850.27</v>
      </c>
    </row>
    <row r="1409" spans="1:6" x14ac:dyDescent="0.3">
      <c r="A1409">
        <v>2024</v>
      </c>
      <c r="B1409">
        <v>6</v>
      </c>
      <c r="C1409" t="s">
        <v>44</v>
      </c>
      <c r="D1409" t="s">
        <v>48</v>
      </c>
      <c r="E1409" t="s">
        <v>52</v>
      </c>
      <c r="F1409">
        <v>32836.800000000003</v>
      </c>
    </row>
    <row r="1410" spans="1:6" x14ac:dyDescent="0.3">
      <c r="A1410">
        <v>2024</v>
      </c>
      <c r="B1410">
        <v>6</v>
      </c>
      <c r="C1410" t="s">
        <v>45</v>
      </c>
      <c r="D1410" t="s">
        <v>48</v>
      </c>
      <c r="E1410" t="s">
        <v>52</v>
      </c>
      <c r="F1410">
        <v>30041.52</v>
      </c>
    </row>
    <row r="1411" spans="1:6" x14ac:dyDescent="0.3">
      <c r="A1411">
        <v>2024</v>
      </c>
      <c r="B1411">
        <v>6</v>
      </c>
      <c r="C1411" t="s">
        <v>37</v>
      </c>
      <c r="D1411" t="s">
        <v>48</v>
      </c>
      <c r="E1411" t="s">
        <v>53</v>
      </c>
      <c r="F1411">
        <v>105770.64</v>
      </c>
    </row>
    <row r="1412" spans="1:6" x14ac:dyDescent="0.3">
      <c r="A1412">
        <v>2024</v>
      </c>
      <c r="B1412">
        <v>6</v>
      </c>
      <c r="C1412" t="s">
        <v>40</v>
      </c>
      <c r="D1412" t="s">
        <v>48</v>
      </c>
      <c r="E1412" t="s">
        <v>53</v>
      </c>
      <c r="F1412">
        <v>99995.33</v>
      </c>
    </row>
    <row r="1413" spans="1:6" x14ac:dyDescent="0.3">
      <c r="A1413">
        <v>2024</v>
      </c>
      <c r="B1413">
        <v>6</v>
      </c>
      <c r="C1413" t="s">
        <v>41</v>
      </c>
      <c r="D1413" t="s">
        <v>48</v>
      </c>
      <c r="E1413" t="s">
        <v>53</v>
      </c>
      <c r="F1413">
        <v>122936.42</v>
      </c>
    </row>
    <row r="1414" spans="1:6" x14ac:dyDescent="0.3">
      <c r="A1414">
        <v>2024</v>
      </c>
      <c r="B1414">
        <v>6</v>
      </c>
      <c r="C1414" t="s">
        <v>42</v>
      </c>
      <c r="D1414" t="s">
        <v>48</v>
      </c>
      <c r="E1414" t="s">
        <v>53</v>
      </c>
      <c r="F1414">
        <v>18532.830000000002</v>
      </c>
    </row>
    <row r="1415" spans="1:6" x14ac:dyDescent="0.3">
      <c r="A1415">
        <v>2024</v>
      </c>
      <c r="B1415">
        <v>6</v>
      </c>
      <c r="C1415" t="s">
        <v>43</v>
      </c>
      <c r="D1415" t="s">
        <v>48</v>
      </c>
      <c r="E1415" t="s">
        <v>53</v>
      </c>
      <c r="F1415">
        <v>32791.199999999997</v>
      </c>
    </row>
    <row r="1416" spans="1:6" x14ac:dyDescent="0.3">
      <c r="A1416">
        <v>2024</v>
      </c>
      <c r="B1416">
        <v>6</v>
      </c>
      <c r="C1416" t="s">
        <v>44</v>
      </c>
      <c r="D1416" t="s">
        <v>48</v>
      </c>
      <c r="E1416" t="s">
        <v>53</v>
      </c>
      <c r="F1416">
        <v>107122.79</v>
      </c>
    </row>
    <row r="1417" spans="1:6" x14ac:dyDescent="0.3">
      <c r="A1417">
        <v>2024</v>
      </c>
      <c r="B1417">
        <v>6</v>
      </c>
      <c r="C1417" t="s">
        <v>45</v>
      </c>
      <c r="D1417" t="s">
        <v>48</v>
      </c>
      <c r="E1417" t="s">
        <v>53</v>
      </c>
      <c r="F1417">
        <v>107744.38</v>
      </c>
    </row>
    <row r="1418" spans="1:6" x14ac:dyDescent="0.3">
      <c r="A1418">
        <v>2024</v>
      </c>
      <c r="B1418">
        <v>6</v>
      </c>
      <c r="C1418" t="s">
        <v>37</v>
      </c>
      <c r="D1418" t="s">
        <v>48</v>
      </c>
      <c r="E1418" t="s">
        <v>54</v>
      </c>
      <c r="F1418">
        <v>25306.78</v>
      </c>
    </row>
    <row r="1419" spans="1:6" x14ac:dyDescent="0.3">
      <c r="A1419">
        <v>2024</v>
      </c>
      <c r="B1419">
        <v>6</v>
      </c>
      <c r="C1419" t="s">
        <v>40</v>
      </c>
      <c r="D1419" t="s">
        <v>48</v>
      </c>
      <c r="E1419" t="s">
        <v>54</v>
      </c>
      <c r="F1419">
        <v>63398.46</v>
      </c>
    </row>
    <row r="1420" spans="1:6" x14ac:dyDescent="0.3">
      <c r="A1420">
        <v>2024</v>
      </c>
      <c r="B1420">
        <v>6</v>
      </c>
      <c r="C1420" t="s">
        <v>41</v>
      </c>
      <c r="D1420" t="s">
        <v>48</v>
      </c>
      <c r="E1420" t="s">
        <v>54</v>
      </c>
      <c r="F1420">
        <v>112209.85</v>
      </c>
    </row>
    <row r="1421" spans="1:6" x14ac:dyDescent="0.3">
      <c r="A1421">
        <v>2024</v>
      </c>
      <c r="B1421">
        <v>6</v>
      </c>
      <c r="C1421" t="s">
        <v>42</v>
      </c>
      <c r="D1421" t="s">
        <v>48</v>
      </c>
      <c r="E1421" t="s">
        <v>54</v>
      </c>
      <c r="F1421">
        <v>54544.27</v>
      </c>
    </row>
    <row r="1422" spans="1:6" x14ac:dyDescent="0.3">
      <c r="A1422">
        <v>2024</v>
      </c>
      <c r="B1422">
        <v>6</v>
      </c>
      <c r="C1422" t="s">
        <v>43</v>
      </c>
      <c r="D1422" t="s">
        <v>48</v>
      </c>
      <c r="E1422" t="s">
        <v>54</v>
      </c>
      <c r="F1422">
        <v>119582.39999999999</v>
      </c>
    </row>
    <row r="1423" spans="1:6" x14ac:dyDescent="0.3">
      <c r="A1423">
        <v>2024</v>
      </c>
      <c r="B1423">
        <v>6</v>
      </c>
      <c r="C1423" t="s">
        <v>44</v>
      </c>
      <c r="D1423" t="s">
        <v>48</v>
      </c>
      <c r="E1423" t="s">
        <v>54</v>
      </c>
      <c r="F1423">
        <v>44877.87</v>
      </c>
    </row>
    <row r="1424" spans="1:6" x14ac:dyDescent="0.3">
      <c r="A1424">
        <v>2024</v>
      </c>
      <c r="B1424">
        <v>6</v>
      </c>
      <c r="C1424" t="s">
        <v>45</v>
      </c>
      <c r="D1424" t="s">
        <v>48</v>
      </c>
      <c r="E1424" t="s">
        <v>54</v>
      </c>
      <c r="F1424">
        <v>50112.71</v>
      </c>
    </row>
    <row r="1425" spans="1:6" x14ac:dyDescent="0.3">
      <c r="A1425">
        <v>2024</v>
      </c>
      <c r="B1425">
        <v>6</v>
      </c>
      <c r="C1425" t="s">
        <v>37</v>
      </c>
      <c r="D1425" t="s">
        <v>48</v>
      </c>
      <c r="E1425" t="s">
        <v>55</v>
      </c>
      <c r="F1425">
        <v>59495.92</v>
      </c>
    </row>
    <row r="1426" spans="1:6" x14ac:dyDescent="0.3">
      <c r="A1426">
        <v>2024</v>
      </c>
      <c r="B1426">
        <v>6</v>
      </c>
      <c r="C1426" t="s">
        <v>40</v>
      </c>
      <c r="D1426" t="s">
        <v>48</v>
      </c>
      <c r="E1426" t="s">
        <v>55</v>
      </c>
      <c r="F1426">
        <v>118077.49</v>
      </c>
    </row>
    <row r="1427" spans="1:6" x14ac:dyDescent="0.3">
      <c r="A1427">
        <v>2024</v>
      </c>
      <c r="B1427">
        <v>6</v>
      </c>
      <c r="C1427" t="s">
        <v>41</v>
      </c>
      <c r="D1427" t="s">
        <v>48</v>
      </c>
      <c r="E1427" t="s">
        <v>55</v>
      </c>
      <c r="F1427">
        <v>13584.86</v>
      </c>
    </row>
    <row r="1428" spans="1:6" x14ac:dyDescent="0.3">
      <c r="A1428">
        <v>2024</v>
      </c>
      <c r="B1428">
        <v>6</v>
      </c>
      <c r="C1428" t="s">
        <v>42</v>
      </c>
      <c r="D1428" t="s">
        <v>48</v>
      </c>
      <c r="E1428" t="s">
        <v>55</v>
      </c>
      <c r="F1428">
        <v>45451.34</v>
      </c>
    </row>
    <row r="1429" spans="1:6" x14ac:dyDescent="0.3">
      <c r="A1429">
        <v>2024</v>
      </c>
      <c r="B1429">
        <v>6</v>
      </c>
      <c r="C1429" t="s">
        <v>43</v>
      </c>
      <c r="D1429" t="s">
        <v>48</v>
      </c>
      <c r="E1429" t="s">
        <v>55</v>
      </c>
      <c r="F1429">
        <v>31388.720000000001</v>
      </c>
    </row>
    <row r="1430" spans="1:6" x14ac:dyDescent="0.3">
      <c r="A1430">
        <v>2024</v>
      </c>
      <c r="B1430">
        <v>6</v>
      </c>
      <c r="C1430" t="s">
        <v>44</v>
      </c>
      <c r="D1430" t="s">
        <v>48</v>
      </c>
      <c r="E1430" t="s">
        <v>55</v>
      </c>
      <c r="F1430">
        <v>59649.79</v>
      </c>
    </row>
    <row r="1431" spans="1:6" x14ac:dyDescent="0.3">
      <c r="A1431">
        <v>2024</v>
      </c>
      <c r="B1431">
        <v>6</v>
      </c>
      <c r="C1431" t="s">
        <v>45</v>
      </c>
      <c r="D1431" t="s">
        <v>48</v>
      </c>
      <c r="E1431" t="s">
        <v>55</v>
      </c>
      <c r="F1431">
        <v>17937.82</v>
      </c>
    </row>
    <row r="1432" spans="1:6" x14ac:dyDescent="0.3">
      <c r="A1432">
        <v>2024</v>
      </c>
      <c r="B1432">
        <v>6</v>
      </c>
      <c r="C1432" t="s">
        <v>37</v>
      </c>
      <c r="D1432" t="s">
        <v>48</v>
      </c>
      <c r="E1432" t="s">
        <v>56</v>
      </c>
      <c r="F1432">
        <v>28228.13</v>
      </c>
    </row>
    <row r="1433" spans="1:6" x14ac:dyDescent="0.3">
      <c r="A1433">
        <v>2024</v>
      </c>
      <c r="B1433">
        <v>6</v>
      </c>
      <c r="C1433" t="s">
        <v>40</v>
      </c>
      <c r="D1433" t="s">
        <v>48</v>
      </c>
      <c r="E1433" t="s">
        <v>56</v>
      </c>
      <c r="F1433">
        <v>37713</v>
      </c>
    </row>
    <row r="1434" spans="1:6" x14ac:dyDescent="0.3">
      <c r="A1434">
        <v>2024</v>
      </c>
      <c r="B1434">
        <v>6</v>
      </c>
      <c r="C1434" t="s">
        <v>41</v>
      </c>
      <c r="D1434" t="s">
        <v>48</v>
      </c>
      <c r="E1434" t="s">
        <v>56</v>
      </c>
      <c r="F1434">
        <v>103988.33</v>
      </c>
    </row>
    <row r="1435" spans="1:6" x14ac:dyDescent="0.3">
      <c r="A1435">
        <v>2024</v>
      </c>
      <c r="B1435">
        <v>6</v>
      </c>
      <c r="C1435" t="s">
        <v>42</v>
      </c>
      <c r="D1435" t="s">
        <v>48</v>
      </c>
      <c r="E1435" t="s">
        <v>56</v>
      </c>
      <c r="F1435">
        <v>111347.69</v>
      </c>
    </row>
    <row r="1436" spans="1:6" x14ac:dyDescent="0.3">
      <c r="A1436">
        <v>2024</v>
      </c>
      <c r="B1436">
        <v>6</v>
      </c>
      <c r="C1436" t="s">
        <v>43</v>
      </c>
      <c r="D1436" t="s">
        <v>48</v>
      </c>
      <c r="E1436" t="s">
        <v>56</v>
      </c>
      <c r="F1436">
        <v>13642.82</v>
      </c>
    </row>
    <row r="1437" spans="1:6" x14ac:dyDescent="0.3">
      <c r="A1437">
        <v>2024</v>
      </c>
      <c r="B1437">
        <v>6</v>
      </c>
      <c r="C1437" t="s">
        <v>44</v>
      </c>
      <c r="D1437" t="s">
        <v>48</v>
      </c>
      <c r="E1437" t="s">
        <v>56</v>
      </c>
      <c r="F1437">
        <v>60478.12</v>
      </c>
    </row>
    <row r="1438" spans="1:6" x14ac:dyDescent="0.3">
      <c r="A1438">
        <v>2024</v>
      </c>
      <c r="B1438">
        <v>6</v>
      </c>
      <c r="C1438" t="s">
        <v>45</v>
      </c>
      <c r="D1438" t="s">
        <v>48</v>
      </c>
      <c r="E1438" t="s">
        <v>56</v>
      </c>
      <c r="F1438">
        <v>112928.08</v>
      </c>
    </row>
    <row r="1439" spans="1:6" x14ac:dyDescent="0.3">
      <c r="A1439">
        <v>2024</v>
      </c>
      <c r="B1439">
        <v>6</v>
      </c>
      <c r="C1439" t="s">
        <v>37</v>
      </c>
      <c r="D1439" t="s">
        <v>57</v>
      </c>
      <c r="E1439" t="s">
        <v>58</v>
      </c>
      <c r="F1439">
        <v>37023.089999999997</v>
      </c>
    </row>
    <row r="1440" spans="1:6" x14ac:dyDescent="0.3">
      <c r="A1440">
        <v>2024</v>
      </c>
      <c r="B1440">
        <v>6</v>
      </c>
      <c r="C1440" t="s">
        <v>37</v>
      </c>
      <c r="D1440" t="s">
        <v>57</v>
      </c>
      <c r="E1440" t="s">
        <v>59</v>
      </c>
      <c r="F1440">
        <v>51147.93</v>
      </c>
    </row>
    <row r="1441" spans="1:6" x14ac:dyDescent="0.3">
      <c r="A1441">
        <v>2024</v>
      </c>
      <c r="B1441">
        <v>6</v>
      </c>
      <c r="C1441" t="s">
        <v>37</v>
      </c>
      <c r="D1441" t="s">
        <v>57</v>
      </c>
      <c r="E1441" t="s">
        <v>60</v>
      </c>
      <c r="F1441">
        <v>29982.639999999999</v>
      </c>
    </row>
    <row r="1442" spans="1:6" x14ac:dyDescent="0.3">
      <c r="A1442">
        <v>2024</v>
      </c>
      <c r="B1442">
        <v>7</v>
      </c>
      <c r="C1442" t="s">
        <v>37</v>
      </c>
      <c r="D1442" t="s">
        <v>38</v>
      </c>
      <c r="E1442" t="s">
        <v>39</v>
      </c>
      <c r="F1442">
        <v>55646.720000000001</v>
      </c>
    </row>
    <row r="1443" spans="1:6" x14ac:dyDescent="0.3">
      <c r="A1443">
        <v>2024</v>
      </c>
      <c r="B1443">
        <v>7</v>
      </c>
      <c r="C1443" t="s">
        <v>40</v>
      </c>
      <c r="D1443" t="s">
        <v>38</v>
      </c>
      <c r="E1443" t="s">
        <v>39</v>
      </c>
      <c r="F1443">
        <v>24283.84</v>
      </c>
    </row>
    <row r="1444" spans="1:6" x14ac:dyDescent="0.3">
      <c r="A1444">
        <v>2024</v>
      </c>
      <c r="B1444">
        <v>7</v>
      </c>
      <c r="C1444" t="s">
        <v>41</v>
      </c>
      <c r="D1444" t="s">
        <v>38</v>
      </c>
      <c r="E1444" t="s">
        <v>39</v>
      </c>
      <c r="F1444">
        <v>17516.36</v>
      </c>
    </row>
    <row r="1445" spans="1:6" x14ac:dyDescent="0.3">
      <c r="A1445">
        <v>2024</v>
      </c>
      <c r="B1445">
        <v>7</v>
      </c>
      <c r="C1445" t="s">
        <v>42</v>
      </c>
      <c r="D1445" t="s">
        <v>38</v>
      </c>
      <c r="E1445" t="s">
        <v>39</v>
      </c>
      <c r="F1445">
        <v>97996.17</v>
      </c>
    </row>
    <row r="1446" spans="1:6" x14ac:dyDescent="0.3">
      <c r="A1446">
        <v>2024</v>
      </c>
      <c r="B1446">
        <v>7</v>
      </c>
      <c r="C1446" t="s">
        <v>43</v>
      </c>
      <c r="D1446" t="s">
        <v>38</v>
      </c>
      <c r="E1446" t="s">
        <v>39</v>
      </c>
      <c r="F1446">
        <v>49463.7</v>
      </c>
    </row>
    <row r="1447" spans="1:6" x14ac:dyDescent="0.3">
      <c r="A1447">
        <v>2024</v>
      </c>
      <c r="B1447">
        <v>7</v>
      </c>
      <c r="C1447" t="s">
        <v>44</v>
      </c>
      <c r="D1447" t="s">
        <v>38</v>
      </c>
      <c r="E1447" t="s">
        <v>39</v>
      </c>
      <c r="F1447">
        <v>133436.65</v>
      </c>
    </row>
    <row r="1448" spans="1:6" x14ac:dyDescent="0.3">
      <c r="A1448">
        <v>2024</v>
      </c>
      <c r="B1448">
        <v>7</v>
      </c>
      <c r="C1448" t="s">
        <v>45</v>
      </c>
      <c r="D1448" t="s">
        <v>38</v>
      </c>
      <c r="E1448" t="s">
        <v>39</v>
      </c>
      <c r="F1448">
        <v>28390.11</v>
      </c>
    </row>
    <row r="1449" spans="1:6" x14ac:dyDescent="0.3">
      <c r="A1449">
        <v>2024</v>
      </c>
      <c r="B1449">
        <v>7</v>
      </c>
      <c r="C1449" t="s">
        <v>37</v>
      </c>
      <c r="D1449" t="s">
        <v>38</v>
      </c>
      <c r="E1449" t="s">
        <v>46</v>
      </c>
      <c r="F1449">
        <v>113121.98</v>
      </c>
    </row>
    <row r="1450" spans="1:6" x14ac:dyDescent="0.3">
      <c r="A1450">
        <v>2024</v>
      </c>
      <c r="B1450">
        <v>7</v>
      </c>
      <c r="C1450" t="s">
        <v>40</v>
      </c>
      <c r="D1450" t="s">
        <v>38</v>
      </c>
      <c r="E1450" t="s">
        <v>46</v>
      </c>
      <c r="F1450">
        <v>26892.080000000002</v>
      </c>
    </row>
    <row r="1451" spans="1:6" x14ac:dyDescent="0.3">
      <c r="A1451">
        <v>2024</v>
      </c>
      <c r="B1451">
        <v>7</v>
      </c>
      <c r="C1451" t="s">
        <v>41</v>
      </c>
      <c r="D1451" t="s">
        <v>38</v>
      </c>
      <c r="E1451" t="s">
        <v>46</v>
      </c>
      <c r="F1451">
        <v>106626.78</v>
      </c>
    </row>
    <row r="1452" spans="1:6" x14ac:dyDescent="0.3">
      <c r="A1452">
        <v>2024</v>
      </c>
      <c r="B1452">
        <v>7</v>
      </c>
      <c r="C1452" t="s">
        <v>42</v>
      </c>
      <c r="D1452" t="s">
        <v>38</v>
      </c>
      <c r="E1452" t="s">
        <v>46</v>
      </c>
      <c r="F1452">
        <v>83136.47</v>
      </c>
    </row>
    <row r="1453" spans="1:6" x14ac:dyDescent="0.3">
      <c r="A1453">
        <v>2024</v>
      </c>
      <c r="B1453">
        <v>7</v>
      </c>
      <c r="C1453" t="s">
        <v>43</v>
      </c>
      <c r="D1453" t="s">
        <v>38</v>
      </c>
      <c r="E1453" t="s">
        <v>46</v>
      </c>
      <c r="F1453">
        <v>48578.5</v>
      </c>
    </row>
    <row r="1454" spans="1:6" x14ac:dyDescent="0.3">
      <c r="A1454">
        <v>2024</v>
      </c>
      <c r="B1454">
        <v>7</v>
      </c>
      <c r="C1454" t="s">
        <v>44</v>
      </c>
      <c r="D1454" t="s">
        <v>38</v>
      </c>
      <c r="E1454" t="s">
        <v>46</v>
      </c>
      <c r="F1454">
        <v>103097.21</v>
      </c>
    </row>
    <row r="1455" spans="1:6" x14ac:dyDescent="0.3">
      <c r="A1455">
        <v>2024</v>
      </c>
      <c r="B1455">
        <v>7</v>
      </c>
      <c r="C1455" t="s">
        <v>45</v>
      </c>
      <c r="D1455" t="s">
        <v>38</v>
      </c>
      <c r="E1455" t="s">
        <v>46</v>
      </c>
      <c r="F1455">
        <v>49319.81</v>
      </c>
    </row>
    <row r="1456" spans="1:6" x14ac:dyDescent="0.3">
      <c r="A1456">
        <v>2024</v>
      </c>
      <c r="B1456">
        <v>7</v>
      </c>
      <c r="C1456" t="s">
        <v>37</v>
      </c>
      <c r="D1456" t="s">
        <v>38</v>
      </c>
      <c r="E1456" t="s">
        <v>47</v>
      </c>
      <c r="F1456">
        <v>125974.05</v>
      </c>
    </row>
    <row r="1457" spans="1:6" x14ac:dyDescent="0.3">
      <c r="A1457">
        <v>2024</v>
      </c>
      <c r="B1457">
        <v>7</v>
      </c>
      <c r="C1457" t="s">
        <v>40</v>
      </c>
      <c r="D1457" t="s">
        <v>38</v>
      </c>
      <c r="E1457" t="s">
        <v>47</v>
      </c>
      <c r="F1457">
        <v>34527.379999999997</v>
      </c>
    </row>
    <row r="1458" spans="1:6" x14ac:dyDescent="0.3">
      <c r="A1458">
        <v>2024</v>
      </c>
      <c r="B1458">
        <v>7</v>
      </c>
      <c r="C1458" t="s">
        <v>41</v>
      </c>
      <c r="D1458" t="s">
        <v>38</v>
      </c>
      <c r="E1458" t="s">
        <v>47</v>
      </c>
      <c r="F1458">
        <v>97760.82</v>
      </c>
    </row>
    <row r="1459" spans="1:6" x14ac:dyDescent="0.3">
      <c r="A1459">
        <v>2024</v>
      </c>
      <c r="B1459">
        <v>7</v>
      </c>
      <c r="C1459" t="s">
        <v>42</v>
      </c>
      <c r="D1459" t="s">
        <v>38</v>
      </c>
      <c r="E1459" t="s">
        <v>47</v>
      </c>
      <c r="F1459">
        <v>52051.48</v>
      </c>
    </row>
    <row r="1460" spans="1:6" x14ac:dyDescent="0.3">
      <c r="A1460">
        <v>2024</v>
      </c>
      <c r="B1460">
        <v>7</v>
      </c>
      <c r="C1460" t="s">
        <v>43</v>
      </c>
      <c r="D1460" t="s">
        <v>38</v>
      </c>
      <c r="E1460" t="s">
        <v>47</v>
      </c>
      <c r="F1460">
        <v>66488.160000000003</v>
      </c>
    </row>
    <row r="1461" spans="1:6" x14ac:dyDescent="0.3">
      <c r="A1461">
        <v>2024</v>
      </c>
      <c r="B1461">
        <v>7</v>
      </c>
      <c r="C1461" t="s">
        <v>44</v>
      </c>
      <c r="D1461" t="s">
        <v>38</v>
      </c>
      <c r="E1461" t="s">
        <v>47</v>
      </c>
      <c r="F1461">
        <v>39584.54</v>
      </c>
    </row>
    <row r="1462" spans="1:6" x14ac:dyDescent="0.3">
      <c r="A1462">
        <v>2024</v>
      </c>
      <c r="B1462">
        <v>7</v>
      </c>
      <c r="C1462" t="s">
        <v>45</v>
      </c>
      <c r="D1462" t="s">
        <v>38</v>
      </c>
      <c r="E1462" t="s">
        <v>47</v>
      </c>
      <c r="F1462">
        <v>38675.65</v>
      </c>
    </row>
    <row r="1463" spans="1:6" x14ac:dyDescent="0.3">
      <c r="A1463">
        <v>2024</v>
      </c>
      <c r="B1463">
        <v>7</v>
      </c>
      <c r="C1463" t="s">
        <v>37</v>
      </c>
      <c r="D1463" t="s">
        <v>48</v>
      </c>
      <c r="E1463" t="s">
        <v>49</v>
      </c>
      <c r="F1463">
        <v>18245.330000000002</v>
      </c>
    </row>
    <row r="1464" spans="1:6" x14ac:dyDescent="0.3">
      <c r="A1464">
        <v>2024</v>
      </c>
      <c r="B1464">
        <v>7</v>
      </c>
      <c r="C1464" t="s">
        <v>40</v>
      </c>
      <c r="D1464" t="s">
        <v>48</v>
      </c>
      <c r="E1464" t="s">
        <v>49</v>
      </c>
      <c r="F1464">
        <v>31791.03</v>
      </c>
    </row>
    <row r="1465" spans="1:6" x14ac:dyDescent="0.3">
      <c r="A1465">
        <v>2024</v>
      </c>
      <c r="B1465">
        <v>7</v>
      </c>
      <c r="C1465" t="s">
        <v>41</v>
      </c>
      <c r="D1465" t="s">
        <v>48</v>
      </c>
      <c r="E1465" t="s">
        <v>49</v>
      </c>
      <c r="F1465">
        <v>105133.89</v>
      </c>
    </row>
    <row r="1466" spans="1:6" x14ac:dyDescent="0.3">
      <c r="A1466">
        <v>2024</v>
      </c>
      <c r="B1466">
        <v>7</v>
      </c>
      <c r="C1466" t="s">
        <v>42</v>
      </c>
      <c r="D1466" t="s">
        <v>48</v>
      </c>
      <c r="E1466" t="s">
        <v>49</v>
      </c>
      <c r="F1466">
        <v>56323.76</v>
      </c>
    </row>
    <row r="1467" spans="1:6" x14ac:dyDescent="0.3">
      <c r="A1467">
        <v>2024</v>
      </c>
      <c r="B1467">
        <v>7</v>
      </c>
      <c r="C1467" t="s">
        <v>43</v>
      </c>
      <c r="D1467" t="s">
        <v>48</v>
      </c>
      <c r="E1467" t="s">
        <v>49</v>
      </c>
      <c r="F1467">
        <v>27409.08</v>
      </c>
    </row>
    <row r="1468" spans="1:6" x14ac:dyDescent="0.3">
      <c r="A1468">
        <v>2024</v>
      </c>
      <c r="B1468">
        <v>7</v>
      </c>
      <c r="C1468" t="s">
        <v>44</v>
      </c>
      <c r="D1468" t="s">
        <v>48</v>
      </c>
      <c r="E1468" t="s">
        <v>49</v>
      </c>
      <c r="F1468">
        <v>100241.3</v>
      </c>
    </row>
    <row r="1469" spans="1:6" x14ac:dyDescent="0.3">
      <c r="A1469">
        <v>2024</v>
      </c>
      <c r="B1469">
        <v>7</v>
      </c>
      <c r="C1469" t="s">
        <v>45</v>
      </c>
      <c r="D1469" t="s">
        <v>48</v>
      </c>
      <c r="E1469" t="s">
        <v>49</v>
      </c>
      <c r="F1469">
        <v>34522.47</v>
      </c>
    </row>
    <row r="1470" spans="1:6" x14ac:dyDescent="0.3">
      <c r="A1470">
        <v>2024</v>
      </c>
      <c r="B1470">
        <v>7</v>
      </c>
      <c r="C1470" t="s">
        <v>37</v>
      </c>
      <c r="D1470" t="s">
        <v>48</v>
      </c>
      <c r="E1470" t="s">
        <v>50</v>
      </c>
      <c r="F1470">
        <v>62615.43</v>
      </c>
    </row>
    <row r="1471" spans="1:6" x14ac:dyDescent="0.3">
      <c r="A1471">
        <v>2024</v>
      </c>
      <c r="B1471">
        <v>7</v>
      </c>
      <c r="C1471" t="s">
        <v>40</v>
      </c>
      <c r="D1471" t="s">
        <v>48</v>
      </c>
      <c r="E1471" t="s">
        <v>50</v>
      </c>
      <c r="F1471">
        <v>117199.31</v>
      </c>
    </row>
    <row r="1472" spans="1:6" x14ac:dyDescent="0.3">
      <c r="A1472">
        <v>2024</v>
      </c>
      <c r="B1472">
        <v>7</v>
      </c>
      <c r="C1472" t="s">
        <v>41</v>
      </c>
      <c r="D1472" t="s">
        <v>48</v>
      </c>
      <c r="E1472" t="s">
        <v>50</v>
      </c>
      <c r="F1472">
        <v>52900.6</v>
      </c>
    </row>
    <row r="1473" spans="1:6" x14ac:dyDescent="0.3">
      <c r="A1473">
        <v>2024</v>
      </c>
      <c r="B1473">
        <v>7</v>
      </c>
      <c r="C1473" t="s">
        <v>42</v>
      </c>
      <c r="D1473" t="s">
        <v>48</v>
      </c>
      <c r="E1473" t="s">
        <v>50</v>
      </c>
      <c r="F1473">
        <v>119788.77</v>
      </c>
    </row>
    <row r="1474" spans="1:6" x14ac:dyDescent="0.3">
      <c r="A1474">
        <v>2024</v>
      </c>
      <c r="B1474">
        <v>7</v>
      </c>
      <c r="C1474" t="s">
        <v>43</v>
      </c>
      <c r="D1474" t="s">
        <v>48</v>
      </c>
      <c r="E1474" t="s">
        <v>50</v>
      </c>
      <c r="F1474">
        <v>103214.18</v>
      </c>
    </row>
    <row r="1475" spans="1:6" x14ac:dyDescent="0.3">
      <c r="A1475">
        <v>2024</v>
      </c>
      <c r="B1475">
        <v>7</v>
      </c>
      <c r="C1475" t="s">
        <v>44</v>
      </c>
      <c r="D1475" t="s">
        <v>48</v>
      </c>
      <c r="E1475" t="s">
        <v>50</v>
      </c>
      <c r="F1475">
        <v>116559.32</v>
      </c>
    </row>
    <row r="1476" spans="1:6" x14ac:dyDescent="0.3">
      <c r="A1476">
        <v>2024</v>
      </c>
      <c r="B1476">
        <v>7</v>
      </c>
      <c r="C1476" t="s">
        <v>45</v>
      </c>
      <c r="D1476" t="s">
        <v>48</v>
      </c>
      <c r="E1476" t="s">
        <v>50</v>
      </c>
      <c r="F1476">
        <v>9553.75</v>
      </c>
    </row>
    <row r="1477" spans="1:6" x14ac:dyDescent="0.3">
      <c r="A1477">
        <v>2024</v>
      </c>
      <c r="B1477">
        <v>7</v>
      </c>
      <c r="C1477" t="s">
        <v>37</v>
      </c>
      <c r="D1477" t="s">
        <v>48</v>
      </c>
      <c r="E1477" t="s">
        <v>51</v>
      </c>
      <c r="F1477">
        <v>65911.92</v>
      </c>
    </row>
    <row r="1478" spans="1:6" x14ac:dyDescent="0.3">
      <c r="A1478">
        <v>2024</v>
      </c>
      <c r="B1478">
        <v>7</v>
      </c>
      <c r="C1478" t="s">
        <v>40</v>
      </c>
      <c r="D1478" t="s">
        <v>48</v>
      </c>
      <c r="E1478" t="s">
        <v>51</v>
      </c>
      <c r="F1478">
        <v>9634.43</v>
      </c>
    </row>
    <row r="1479" spans="1:6" x14ac:dyDescent="0.3">
      <c r="A1479">
        <v>2024</v>
      </c>
      <c r="B1479">
        <v>7</v>
      </c>
      <c r="C1479" t="s">
        <v>41</v>
      </c>
      <c r="D1479" t="s">
        <v>48</v>
      </c>
      <c r="E1479" t="s">
        <v>51</v>
      </c>
      <c r="F1479">
        <v>55126.97</v>
      </c>
    </row>
    <row r="1480" spans="1:6" x14ac:dyDescent="0.3">
      <c r="A1480">
        <v>2024</v>
      </c>
      <c r="B1480">
        <v>7</v>
      </c>
      <c r="C1480" t="s">
        <v>42</v>
      </c>
      <c r="D1480" t="s">
        <v>48</v>
      </c>
      <c r="E1480" t="s">
        <v>51</v>
      </c>
      <c r="F1480">
        <v>53771.34</v>
      </c>
    </row>
    <row r="1481" spans="1:6" x14ac:dyDescent="0.3">
      <c r="A1481">
        <v>2024</v>
      </c>
      <c r="B1481">
        <v>7</v>
      </c>
      <c r="C1481" t="s">
        <v>43</v>
      </c>
      <c r="D1481" t="s">
        <v>48</v>
      </c>
      <c r="E1481" t="s">
        <v>51</v>
      </c>
      <c r="F1481">
        <v>92357.87</v>
      </c>
    </row>
    <row r="1482" spans="1:6" x14ac:dyDescent="0.3">
      <c r="A1482">
        <v>2024</v>
      </c>
      <c r="B1482">
        <v>7</v>
      </c>
      <c r="C1482" t="s">
        <v>44</v>
      </c>
      <c r="D1482" t="s">
        <v>48</v>
      </c>
      <c r="E1482" t="s">
        <v>51</v>
      </c>
      <c r="F1482">
        <v>96118.12</v>
      </c>
    </row>
    <row r="1483" spans="1:6" x14ac:dyDescent="0.3">
      <c r="A1483">
        <v>2024</v>
      </c>
      <c r="B1483">
        <v>7</v>
      </c>
      <c r="C1483" t="s">
        <v>45</v>
      </c>
      <c r="D1483" t="s">
        <v>48</v>
      </c>
      <c r="E1483" t="s">
        <v>51</v>
      </c>
      <c r="F1483">
        <v>18559.21</v>
      </c>
    </row>
    <row r="1484" spans="1:6" x14ac:dyDescent="0.3">
      <c r="A1484">
        <v>2024</v>
      </c>
      <c r="B1484">
        <v>7</v>
      </c>
      <c r="C1484" t="s">
        <v>37</v>
      </c>
      <c r="D1484" t="s">
        <v>48</v>
      </c>
      <c r="E1484" t="s">
        <v>52</v>
      </c>
      <c r="F1484">
        <v>83588.14</v>
      </c>
    </row>
    <row r="1485" spans="1:6" x14ac:dyDescent="0.3">
      <c r="A1485">
        <v>2024</v>
      </c>
      <c r="B1485">
        <v>7</v>
      </c>
      <c r="C1485" t="s">
        <v>40</v>
      </c>
      <c r="D1485" t="s">
        <v>48</v>
      </c>
      <c r="E1485" t="s">
        <v>52</v>
      </c>
      <c r="F1485">
        <v>103923.4</v>
      </c>
    </row>
    <row r="1486" spans="1:6" x14ac:dyDescent="0.3">
      <c r="A1486">
        <v>2024</v>
      </c>
      <c r="B1486">
        <v>7</v>
      </c>
      <c r="C1486" t="s">
        <v>41</v>
      </c>
      <c r="D1486" t="s">
        <v>48</v>
      </c>
      <c r="E1486" t="s">
        <v>52</v>
      </c>
      <c r="F1486">
        <v>16412.5</v>
      </c>
    </row>
    <row r="1487" spans="1:6" x14ac:dyDescent="0.3">
      <c r="A1487">
        <v>2024</v>
      </c>
      <c r="B1487">
        <v>7</v>
      </c>
      <c r="C1487" t="s">
        <v>42</v>
      </c>
      <c r="D1487" t="s">
        <v>48</v>
      </c>
      <c r="E1487" t="s">
        <v>52</v>
      </c>
      <c r="F1487">
        <v>134789.57999999999</v>
      </c>
    </row>
    <row r="1488" spans="1:6" x14ac:dyDescent="0.3">
      <c r="A1488">
        <v>2024</v>
      </c>
      <c r="B1488">
        <v>7</v>
      </c>
      <c r="C1488" t="s">
        <v>43</v>
      </c>
      <c r="D1488" t="s">
        <v>48</v>
      </c>
      <c r="E1488" t="s">
        <v>52</v>
      </c>
      <c r="F1488">
        <v>83304.47</v>
      </c>
    </row>
    <row r="1489" spans="1:6" x14ac:dyDescent="0.3">
      <c r="A1489">
        <v>2024</v>
      </c>
      <c r="B1489">
        <v>7</v>
      </c>
      <c r="C1489" t="s">
        <v>44</v>
      </c>
      <c r="D1489" t="s">
        <v>48</v>
      </c>
      <c r="E1489" t="s">
        <v>52</v>
      </c>
      <c r="F1489">
        <v>45281.63</v>
      </c>
    </row>
    <row r="1490" spans="1:6" x14ac:dyDescent="0.3">
      <c r="A1490">
        <v>2024</v>
      </c>
      <c r="B1490">
        <v>7</v>
      </c>
      <c r="C1490" t="s">
        <v>45</v>
      </c>
      <c r="D1490" t="s">
        <v>48</v>
      </c>
      <c r="E1490" t="s">
        <v>52</v>
      </c>
      <c r="F1490">
        <v>93890.99</v>
      </c>
    </row>
    <row r="1491" spans="1:6" x14ac:dyDescent="0.3">
      <c r="A1491">
        <v>2024</v>
      </c>
      <c r="B1491">
        <v>7</v>
      </c>
      <c r="C1491" t="s">
        <v>37</v>
      </c>
      <c r="D1491" t="s">
        <v>48</v>
      </c>
      <c r="E1491" t="s">
        <v>53</v>
      </c>
      <c r="F1491">
        <v>108687.4</v>
      </c>
    </row>
    <row r="1492" spans="1:6" x14ac:dyDescent="0.3">
      <c r="A1492">
        <v>2024</v>
      </c>
      <c r="B1492">
        <v>7</v>
      </c>
      <c r="C1492" t="s">
        <v>40</v>
      </c>
      <c r="D1492" t="s">
        <v>48</v>
      </c>
      <c r="E1492" t="s">
        <v>53</v>
      </c>
      <c r="F1492">
        <v>113629.6</v>
      </c>
    </row>
    <row r="1493" spans="1:6" x14ac:dyDescent="0.3">
      <c r="A1493">
        <v>2024</v>
      </c>
      <c r="B1493">
        <v>7</v>
      </c>
      <c r="C1493" t="s">
        <v>41</v>
      </c>
      <c r="D1493" t="s">
        <v>48</v>
      </c>
      <c r="E1493" t="s">
        <v>53</v>
      </c>
      <c r="F1493">
        <v>95224.47</v>
      </c>
    </row>
    <row r="1494" spans="1:6" x14ac:dyDescent="0.3">
      <c r="A1494">
        <v>2024</v>
      </c>
      <c r="B1494">
        <v>7</v>
      </c>
      <c r="C1494" t="s">
        <v>42</v>
      </c>
      <c r="D1494" t="s">
        <v>48</v>
      </c>
      <c r="E1494" t="s">
        <v>53</v>
      </c>
      <c r="F1494">
        <v>12316.49</v>
      </c>
    </row>
    <row r="1495" spans="1:6" x14ac:dyDescent="0.3">
      <c r="A1495">
        <v>2024</v>
      </c>
      <c r="B1495">
        <v>7</v>
      </c>
      <c r="C1495" t="s">
        <v>43</v>
      </c>
      <c r="D1495" t="s">
        <v>48</v>
      </c>
      <c r="E1495" t="s">
        <v>53</v>
      </c>
      <c r="F1495">
        <v>72062.27</v>
      </c>
    </row>
    <row r="1496" spans="1:6" x14ac:dyDescent="0.3">
      <c r="A1496">
        <v>2024</v>
      </c>
      <c r="B1496">
        <v>7</v>
      </c>
      <c r="C1496" t="s">
        <v>44</v>
      </c>
      <c r="D1496" t="s">
        <v>48</v>
      </c>
      <c r="E1496" t="s">
        <v>53</v>
      </c>
      <c r="F1496">
        <v>24710.560000000001</v>
      </c>
    </row>
    <row r="1497" spans="1:6" x14ac:dyDescent="0.3">
      <c r="A1497">
        <v>2024</v>
      </c>
      <c r="B1497">
        <v>7</v>
      </c>
      <c r="C1497" t="s">
        <v>45</v>
      </c>
      <c r="D1497" t="s">
        <v>48</v>
      </c>
      <c r="E1497" t="s">
        <v>53</v>
      </c>
      <c r="F1497">
        <v>32953.69</v>
      </c>
    </row>
    <row r="1498" spans="1:6" x14ac:dyDescent="0.3">
      <c r="A1498">
        <v>2024</v>
      </c>
      <c r="B1498">
        <v>7</v>
      </c>
      <c r="C1498" t="s">
        <v>37</v>
      </c>
      <c r="D1498" t="s">
        <v>48</v>
      </c>
      <c r="E1498" t="s">
        <v>54</v>
      </c>
      <c r="F1498">
        <v>50589.440000000002</v>
      </c>
    </row>
    <row r="1499" spans="1:6" x14ac:dyDescent="0.3">
      <c r="A1499">
        <v>2024</v>
      </c>
      <c r="B1499">
        <v>7</v>
      </c>
      <c r="C1499" t="s">
        <v>40</v>
      </c>
      <c r="D1499" t="s">
        <v>48</v>
      </c>
      <c r="E1499" t="s">
        <v>54</v>
      </c>
      <c r="F1499">
        <v>38447.760000000002</v>
      </c>
    </row>
    <row r="1500" spans="1:6" x14ac:dyDescent="0.3">
      <c r="A1500">
        <v>2024</v>
      </c>
      <c r="B1500">
        <v>7</v>
      </c>
      <c r="C1500" t="s">
        <v>41</v>
      </c>
      <c r="D1500" t="s">
        <v>48</v>
      </c>
      <c r="E1500" t="s">
        <v>54</v>
      </c>
      <c r="F1500">
        <v>136859.79999999999</v>
      </c>
    </row>
    <row r="1501" spans="1:6" x14ac:dyDescent="0.3">
      <c r="A1501">
        <v>2024</v>
      </c>
      <c r="B1501">
        <v>7</v>
      </c>
      <c r="C1501" t="s">
        <v>42</v>
      </c>
      <c r="D1501" t="s">
        <v>48</v>
      </c>
      <c r="E1501" t="s">
        <v>54</v>
      </c>
      <c r="F1501">
        <v>41242.17</v>
      </c>
    </row>
    <row r="1502" spans="1:6" x14ac:dyDescent="0.3">
      <c r="A1502">
        <v>2024</v>
      </c>
      <c r="B1502">
        <v>7</v>
      </c>
      <c r="C1502" t="s">
        <v>43</v>
      </c>
      <c r="D1502" t="s">
        <v>48</v>
      </c>
      <c r="E1502" t="s">
        <v>54</v>
      </c>
      <c r="F1502">
        <v>56489.89</v>
      </c>
    </row>
    <row r="1503" spans="1:6" x14ac:dyDescent="0.3">
      <c r="A1503">
        <v>2024</v>
      </c>
      <c r="B1503">
        <v>7</v>
      </c>
      <c r="C1503" t="s">
        <v>44</v>
      </c>
      <c r="D1503" t="s">
        <v>48</v>
      </c>
      <c r="E1503" t="s">
        <v>54</v>
      </c>
      <c r="F1503">
        <v>80969.39</v>
      </c>
    </row>
    <row r="1504" spans="1:6" x14ac:dyDescent="0.3">
      <c r="A1504">
        <v>2024</v>
      </c>
      <c r="B1504">
        <v>7</v>
      </c>
      <c r="C1504" t="s">
        <v>45</v>
      </c>
      <c r="D1504" t="s">
        <v>48</v>
      </c>
      <c r="E1504" t="s">
        <v>54</v>
      </c>
      <c r="F1504">
        <v>100147.6</v>
      </c>
    </row>
    <row r="1505" spans="1:6" x14ac:dyDescent="0.3">
      <c r="A1505">
        <v>2024</v>
      </c>
      <c r="B1505">
        <v>7</v>
      </c>
      <c r="C1505" t="s">
        <v>37</v>
      </c>
      <c r="D1505" t="s">
        <v>48</v>
      </c>
      <c r="E1505" t="s">
        <v>55</v>
      </c>
      <c r="F1505">
        <v>62662.45</v>
      </c>
    </row>
    <row r="1506" spans="1:6" x14ac:dyDescent="0.3">
      <c r="A1506">
        <v>2024</v>
      </c>
      <c r="B1506">
        <v>7</v>
      </c>
      <c r="C1506" t="s">
        <v>40</v>
      </c>
      <c r="D1506" t="s">
        <v>48</v>
      </c>
      <c r="E1506" t="s">
        <v>55</v>
      </c>
      <c r="F1506">
        <v>36800.22</v>
      </c>
    </row>
    <row r="1507" spans="1:6" x14ac:dyDescent="0.3">
      <c r="A1507">
        <v>2024</v>
      </c>
      <c r="B1507">
        <v>7</v>
      </c>
      <c r="C1507" t="s">
        <v>41</v>
      </c>
      <c r="D1507" t="s">
        <v>48</v>
      </c>
      <c r="E1507" t="s">
        <v>55</v>
      </c>
      <c r="F1507">
        <v>45458</v>
      </c>
    </row>
    <row r="1508" spans="1:6" x14ac:dyDescent="0.3">
      <c r="A1508">
        <v>2024</v>
      </c>
      <c r="B1508">
        <v>7</v>
      </c>
      <c r="C1508" t="s">
        <v>42</v>
      </c>
      <c r="D1508" t="s">
        <v>48</v>
      </c>
      <c r="E1508" t="s">
        <v>55</v>
      </c>
      <c r="F1508">
        <v>69730.09</v>
      </c>
    </row>
    <row r="1509" spans="1:6" x14ac:dyDescent="0.3">
      <c r="A1509">
        <v>2024</v>
      </c>
      <c r="B1509">
        <v>7</v>
      </c>
      <c r="C1509" t="s">
        <v>43</v>
      </c>
      <c r="D1509" t="s">
        <v>48</v>
      </c>
      <c r="E1509" t="s">
        <v>55</v>
      </c>
      <c r="F1509">
        <v>97491.57</v>
      </c>
    </row>
    <row r="1510" spans="1:6" x14ac:dyDescent="0.3">
      <c r="A1510">
        <v>2024</v>
      </c>
      <c r="B1510">
        <v>7</v>
      </c>
      <c r="C1510" t="s">
        <v>44</v>
      </c>
      <c r="D1510" t="s">
        <v>48</v>
      </c>
      <c r="E1510" t="s">
        <v>55</v>
      </c>
      <c r="F1510">
        <v>69897.84</v>
      </c>
    </row>
    <row r="1511" spans="1:6" x14ac:dyDescent="0.3">
      <c r="A1511">
        <v>2024</v>
      </c>
      <c r="B1511">
        <v>7</v>
      </c>
      <c r="C1511" t="s">
        <v>45</v>
      </c>
      <c r="D1511" t="s">
        <v>48</v>
      </c>
      <c r="E1511" t="s">
        <v>55</v>
      </c>
      <c r="F1511">
        <v>59248.36</v>
      </c>
    </row>
    <row r="1512" spans="1:6" x14ac:dyDescent="0.3">
      <c r="A1512">
        <v>2024</v>
      </c>
      <c r="B1512">
        <v>7</v>
      </c>
      <c r="C1512" t="s">
        <v>37</v>
      </c>
      <c r="D1512" t="s">
        <v>48</v>
      </c>
      <c r="E1512" t="s">
        <v>56</v>
      </c>
      <c r="F1512">
        <v>49147.99</v>
      </c>
    </row>
    <row r="1513" spans="1:6" x14ac:dyDescent="0.3">
      <c r="A1513">
        <v>2024</v>
      </c>
      <c r="B1513">
        <v>7</v>
      </c>
      <c r="C1513" t="s">
        <v>40</v>
      </c>
      <c r="D1513" t="s">
        <v>48</v>
      </c>
      <c r="E1513" t="s">
        <v>56</v>
      </c>
      <c r="F1513">
        <v>37494.53</v>
      </c>
    </row>
    <row r="1514" spans="1:6" x14ac:dyDescent="0.3">
      <c r="A1514">
        <v>2024</v>
      </c>
      <c r="B1514">
        <v>7</v>
      </c>
      <c r="C1514" t="s">
        <v>41</v>
      </c>
      <c r="D1514" t="s">
        <v>48</v>
      </c>
      <c r="E1514" t="s">
        <v>56</v>
      </c>
      <c r="F1514">
        <v>132658.54999999999</v>
      </c>
    </row>
    <row r="1515" spans="1:6" x14ac:dyDescent="0.3">
      <c r="A1515">
        <v>2024</v>
      </c>
      <c r="B1515">
        <v>7</v>
      </c>
      <c r="C1515" t="s">
        <v>42</v>
      </c>
      <c r="D1515" t="s">
        <v>48</v>
      </c>
      <c r="E1515" t="s">
        <v>56</v>
      </c>
      <c r="F1515">
        <v>39819.1</v>
      </c>
    </row>
    <row r="1516" spans="1:6" x14ac:dyDescent="0.3">
      <c r="A1516">
        <v>2024</v>
      </c>
      <c r="B1516">
        <v>7</v>
      </c>
      <c r="C1516" t="s">
        <v>43</v>
      </c>
      <c r="D1516" t="s">
        <v>48</v>
      </c>
      <c r="E1516" t="s">
        <v>56</v>
      </c>
      <c r="F1516">
        <v>41990.34</v>
      </c>
    </row>
    <row r="1517" spans="1:6" x14ac:dyDescent="0.3">
      <c r="A1517">
        <v>2024</v>
      </c>
      <c r="B1517">
        <v>7</v>
      </c>
      <c r="C1517" t="s">
        <v>44</v>
      </c>
      <c r="D1517" t="s">
        <v>48</v>
      </c>
      <c r="E1517" t="s">
        <v>56</v>
      </c>
      <c r="F1517">
        <v>136224.68</v>
      </c>
    </row>
    <row r="1518" spans="1:6" x14ac:dyDescent="0.3">
      <c r="A1518">
        <v>2024</v>
      </c>
      <c r="B1518">
        <v>7</v>
      </c>
      <c r="C1518" t="s">
        <v>45</v>
      </c>
      <c r="D1518" t="s">
        <v>48</v>
      </c>
      <c r="E1518" t="s">
        <v>56</v>
      </c>
      <c r="F1518">
        <v>34588.65</v>
      </c>
    </row>
    <row r="1519" spans="1:6" x14ac:dyDescent="0.3">
      <c r="A1519">
        <v>2024</v>
      </c>
      <c r="B1519">
        <v>7</v>
      </c>
      <c r="C1519" t="s">
        <v>37</v>
      </c>
      <c r="D1519" t="s">
        <v>57</v>
      </c>
      <c r="E1519" t="s">
        <v>58</v>
      </c>
      <c r="F1519">
        <v>87033.77</v>
      </c>
    </row>
    <row r="1520" spans="1:6" x14ac:dyDescent="0.3">
      <c r="A1520">
        <v>2024</v>
      </c>
      <c r="B1520">
        <v>7</v>
      </c>
      <c r="C1520" t="s">
        <v>37</v>
      </c>
      <c r="D1520" t="s">
        <v>57</v>
      </c>
      <c r="E1520" t="s">
        <v>59</v>
      </c>
      <c r="F1520">
        <v>88449.86</v>
      </c>
    </row>
    <row r="1521" spans="1:6" x14ac:dyDescent="0.3">
      <c r="A1521">
        <v>2024</v>
      </c>
      <c r="B1521">
        <v>7</v>
      </c>
      <c r="C1521" t="s">
        <v>37</v>
      </c>
      <c r="D1521" t="s">
        <v>57</v>
      </c>
      <c r="E1521" t="s">
        <v>60</v>
      </c>
      <c r="F1521">
        <v>130717.69</v>
      </c>
    </row>
    <row r="1522" spans="1:6" x14ac:dyDescent="0.3">
      <c r="A1522">
        <v>2024</v>
      </c>
      <c r="B1522">
        <v>8</v>
      </c>
      <c r="C1522" t="s">
        <v>37</v>
      </c>
      <c r="D1522" t="s">
        <v>38</v>
      </c>
      <c r="E1522" t="s">
        <v>39</v>
      </c>
      <c r="F1522">
        <v>21403.53</v>
      </c>
    </row>
    <row r="1523" spans="1:6" x14ac:dyDescent="0.3">
      <c r="A1523">
        <v>2024</v>
      </c>
      <c r="B1523">
        <v>8</v>
      </c>
      <c r="C1523" t="s">
        <v>40</v>
      </c>
      <c r="D1523" t="s">
        <v>38</v>
      </c>
      <c r="E1523" t="s">
        <v>39</v>
      </c>
      <c r="F1523">
        <v>14893.98</v>
      </c>
    </row>
    <row r="1524" spans="1:6" x14ac:dyDescent="0.3">
      <c r="A1524">
        <v>2024</v>
      </c>
      <c r="B1524">
        <v>8</v>
      </c>
      <c r="C1524" t="s">
        <v>41</v>
      </c>
      <c r="D1524" t="s">
        <v>38</v>
      </c>
      <c r="E1524" t="s">
        <v>39</v>
      </c>
      <c r="F1524">
        <v>46271.79</v>
      </c>
    </row>
    <row r="1525" spans="1:6" x14ac:dyDescent="0.3">
      <c r="A1525">
        <v>2024</v>
      </c>
      <c r="B1525">
        <v>8</v>
      </c>
      <c r="C1525" t="s">
        <v>42</v>
      </c>
      <c r="D1525" t="s">
        <v>38</v>
      </c>
      <c r="E1525" t="s">
        <v>39</v>
      </c>
      <c r="F1525">
        <v>92641.32</v>
      </c>
    </row>
    <row r="1526" spans="1:6" x14ac:dyDescent="0.3">
      <c r="A1526">
        <v>2024</v>
      </c>
      <c r="B1526">
        <v>8</v>
      </c>
      <c r="C1526" t="s">
        <v>43</v>
      </c>
      <c r="D1526" t="s">
        <v>38</v>
      </c>
      <c r="E1526" t="s">
        <v>39</v>
      </c>
      <c r="F1526">
        <v>131799.91</v>
      </c>
    </row>
    <row r="1527" spans="1:6" x14ac:dyDescent="0.3">
      <c r="A1527">
        <v>2024</v>
      </c>
      <c r="B1527">
        <v>8</v>
      </c>
      <c r="C1527" t="s">
        <v>44</v>
      </c>
      <c r="D1527" t="s">
        <v>38</v>
      </c>
      <c r="E1527" t="s">
        <v>39</v>
      </c>
      <c r="F1527">
        <v>125302.48</v>
      </c>
    </row>
    <row r="1528" spans="1:6" x14ac:dyDescent="0.3">
      <c r="A1528">
        <v>2024</v>
      </c>
      <c r="B1528">
        <v>8</v>
      </c>
      <c r="C1528" t="s">
        <v>45</v>
      </c>
      <c r="D1528" t="s">
        <v>38</v>
      </c>
      <c r="E1528" t="s">
        <v>39</v>
      </c>
      <c r="F1528">
        <v>73036.41</v>
      </c>
    </row>
    <row r="1529" spans="1:6" x14ac:dyDescent="0.3">
      <c r="A1529">
        <v>2024</v>
      </c>
      <c r="B1529">
        <v>8</v>
      </c>
      <c r="C1529" t="s">
        <v>37</v>
      </c>
      <c r="D1529" t="s">
        <v>38</v>
      </c>
      <c r="E1529" t="s">
        <v>46</v>
      </c>
      <c r="F1529">
        <v>28855.84</v>
      </c>
    </row>
    <row r="1530" spans="1:6" x14ac:dyDescent="0.3">
      <c r="A1530">
        <v>2024</v>
      </c>
      <c r="B1530">
        <v>8</v>
      </c>
      <c r="C1530" t="s">
        <v>40</v>
      </c>
      <c r="D1530" t="s">
        <v>38</v>
      </c>
      <c r="E1530" t="s">
        <v>46</v>
      </c>
      <c r="F1530">
        <v>92937.43</v>
      </c>
    </row>
    <row r="1531" spans="1:6" x14ac:dyDescent="0.3">
      <c r="A1531">
        <v>2024</v>
      </c>
      <c r="B1531">
        <v>8</v>
      </c>
      <c r="C1531" t="s">
        <v>41</v>
      </c>
      <c r="D1531" t="s">
        <v>38</v>
      </c>
      <c r="E1531" t="s">
        <v>46</v>
      </c>
      <c r="F1531">
        <v>63658.49</v>
      </c>
    </row>
    <row r="1532" spans="1:6" x14ac:dyDescent="0.3">
      <c r="A1532">
        <v>2024</v>
      </c>
      <c r="B1532">
        <v>8</v>
      </c>
      <c r="C1532" t="s">
        <v>42</v>
      </c>
      <c r="D1532" t="s">
        <v>38</v>
      </c>
      <c r="E1532" t="s">
        <v>46</v>
      </c>
      <c r="F1532">
        <v>95447.75</v>
      </c>
    </row>
    <row r="1533" spans="1:6" x14ac:dyDescent="0.3">
      <c r="A1533">
        <v>2024</v>
      </c>
      <c r="B1533">
        <v>8</v>
      </c>
      <c r="C1533" t="s">
        <v>43</v>
      </c>
      <c r="D1533" t="s">
        <v>38</v>
      </c>
      <c r="E1533" t="s">
        <v>46</v>
      </c>
      <c r="F1533">
        <v>47269.05</v>
      </c>
    </row>
    <row r="1534" spans="1:6" x14ac:dyDescent="0.3">
      <c r="A1534">
        <v>2024</v>
      </c>
      <c r="B1534">
        <v>8</v>
      </c>
      <c r="C1534" t="s">
        <v>44</v>
      </c>
      <c r="D1534" t="s">
        <v>38</v>
      </c>
      <c r="E1534" t="s">
        <v>46</v>
      </c>
      <c r="F1534">
        <v>142049.56</v>
      </c>
    </row>
    <row r="1535" spans="1:6" x14ac:dyDescent="0.3">
      <c r="A1535">
        <v>2024</v>
      </c>
      <c r="B1535">
        <v>8</v>
      </c>
      <c r="C1535" t="s">
        <v>45</v>
      </c>
      <c r="D1535" t="s">
        <v>38</v>
      </c>
      <c r="E1535" t="s">
        <v>46</v>
      </c>
      <c r="F1535">
        <v>24760.19</v>
      </c>
    </row>
    <row r="1536" spans="1:6" x14ac:dyDescent="0.3">
      <c r="A1536">
        <v>2024</v>
      </c>
      <c r="B1536">
        <v>8</v>
      </c>
      <c r="C1536" t="s">
        <v>37</v>
      </c>
      <c r="D1536" t="s">
        <v>38</v>
      </c>
      <c r="E1536" t="s">
        <v>47</v>
      </c>
      <c r="F1536">
        <v>84615.33</v>
      </c>
    </row>
    <row r="1537" spans="1:6" x14ac:dyDescent="0.3">
      <c r="A1537">
        <v>2024</v>
      </c>
      <c r="B1537">
        <v>8</v>
      </c>
      <c r="C1537" t="s">
        <v>40</v>
      </c>
      <c r="D1537" t="s">
        <v>38</v>
      </c>
      <c r="E1537" t="s">
        <v>47</v>
      </c>
      <c r="F1537">
        <v>114262.72</v>
      </c>
    </row>
    <row r="1538" spans="1:6" x14ac:dyDescent="0.3">
      <c r="A1538">
        <v>2024</v>
      </c>
      <c r="B1538">
        <v>8</v>
      </c>
      <c r="C1538" t="s">
        <v>41</v>
      </c>
      <c r="D1538" t="s">
        <v>38</v>
      </c>
      <c r="E1538" t="s">
        <v>47</v>
      </c>
      <c r="F1538">
        <v>114297.75</v>
      </c>
    </row>
    <row r="1539" spans="1:6" x14ac:dyDescent="0.3">
      <c r="A1539">
        <v>2024</v>
      </c>
      <c r="B1539">
        <v>8</v>
      </c>
      <c r="C1539" t="s">
        <v>42</v>
      </c>
      <c r="D1539" t="s">
        <v>38</v>
      </c>
      <c r="E1539" t="s">
        <v>47</v>
      </c>
      <c r="F1539">
        <v>54275.77</v>
      </c>
    </row>
    <row r="1540" spans="1:6" x14ac:dyDescent="0.3">
      <c r="A1540">
        <v>2024</v>
      </c>
      <c r="B1540">
        <v>8</v>
      </c>
      <c r="C1540" t="s">
        <v>43</v>
      </c>
      <c r="D1540" t="s">
        <v>38</v>
      </c>
      <c r="E1540" t="s">
        <v>47</v>
      </c>
      <c r="F1540">
        <v>39686.19</v>
      </c>
    </row>
    <row r="1541" spans="1:6" x14ac:dyDescent="0.3">
      <c r="A1541">
        <v>2024</v>
      </c>
      <c r="B1541">
        <v>8</v>
      </c>
      <c r="C1541" t="s">
        <v>44</v>
      </c>
      <c r="D1541" t="s">
        <v>38</v>
      </c>
      <c r="E1541" t="s">
        <v>47</v>
      </c>
      <c r="F1541">
        <v>68143.14</v>
      </c>
    </row>
    <row r="1542" spans="1:6" x14ac:dyDescent="0.3">
      <c r="A1542">
        <v>2024</v>
      </c>
      <c r="B1542">
        <v>8</v>
      </c>
      <c r="C1542" t="s">
        <v>45</v>
      </c>
      <c r="D1542" t="s">
        <v>38</v>
      </c>
      <c r="E1542" t="s">
        <v>47</v>
      </c>
      <c r="F1542">
        <v>97820.65</v>
      </c>
    </row>
    <row r="1543" spans="1:6" x14ac:dyDescent="0.3">
      <c r="A1543">
        <v>2024</v>
      </c>
      <c r="B1543">
        <v>8</v>
      </c>
      <c r="C1543" t="s">
        <v>37</v>
      </c>
      <c r="D1543" t="s">
        <v>48</v>
      </c>
      <c r="E1543" t="s">
        <v>49</v>
      </c>
      <c r="F1543">
        <v>119145.86</v>
      </c>
    </row>
    <row r="1544" spans="1:6" x14ac:dyDescent="0.3">
      <c r="A1544">
        <v>2024</v>
      </c>
      <c r="B1544">
        <v>8</v>
      </c>
      <c r="C1544" t="s">
        <v>40</v>
      </c>
      <c r="D1544" t="s">
        <v>48</v>
      </c>
      <c r="E1544" t="s">
        <v>49</v>
      </c>
      <c r="F1544">
        <v>43278.73</v>
      </c>
    </row>
    <row r="1545" spans="1:6" x14ac:dyDescent="0.3">
      <c r="A1545">
        <v>2024</v>
      </c>
      <c r="B1545">
        <v>8</v>
      </c>
      <c r="C1545" t="s">
        <v>41</v>
      </c>
      <c r="D1545" t="s">
        <v>48</v>
      </c>
      <c r="E1545" t="s">
        <v>49</v>
      </c>
      <c r="F1545">
        <v>84204.99</v>
      </c>
    </row>
    <row r="1546" spans="1:6" x14ac:dyDescent="0.3">
      <c r="A1546">
        <v>2024</v>
      </c>
      <c r="B1546">
        <v>8</v>
      </c>
      <c r="C1546" t="s">
        <v>42</v>
      </c>
      <c r="D1546" t="s">
        <v>48</v>
      </c>
      <c r="E1546" t="s">
        <v>49</v>
      </c>
      <c r="F1546">
        <v>34359.32</v>
      </c>
    </row>
    <row r="1547" spans="1:6" x14ac:dyDescent="0.3">
      <c r="A1547">
        <v>2024</v>
      </c>
      <c r="B1547">
        <v>8</v>
      </c>
      <c r="C1547" t="s">
        <v>43</v>
      </c>
      <c r="D1547" t="s">
        <v>48</v>
      </c>
      <c r="E1547" t="s">
        <v>49</v>
      </c>
      <c r="F1547">
        <v>140941.32999999999</v>
      </c>
    </row>
    <row r="1548" spans="1:6" x14ac:dyDescent="0.3">
      <c r="A1548">
        <v>2024</v>
      </c>
      <c r="B1548">
        <v>8</v>
      </c>
      <c r="C1548" t="s">
        <v>44</v>
      </c>
      <c r="D1548" t="s">
        <v>48</v>
      </c>
      <c r="E1548" t="s">
        <v>49</v>
      </c>
      <c r="F1548">
        <v>105824.04</v>
      </c>
    </row>
    <row r="1549" spans="1:6" x14ac:dyDescent="0.3">
      <c r="A1549">
        <v>2024</v>
      </c>
      <c r="B1549">
        <v>8</v>
      </c>
      <c r="C1549" t="s">
        <v>45</v>
      </c>
      <c r="D1549" t="s">
        <v>48</v>
      </c>
      <c r="E1549" t="s">
        <v>49</v>
      </c>
      <c r="F1549">
        <v>73232.149999999994</v>
      </c>
    </row>
    <row r="1550" spans="1:6" x14ac:dyDescent="0.3">
      <c r="A1550">
        <v>2024</v>
      </c>
      <c r="B1550">
        <v>8</v>
      </c>
      <c r="C1550" t="s">
        <v>37</v>
      </c>
      <c r="D1550" t="s">
        <v>48</v>
      </c>
      <c r="E1550" t="s">
        <v>50</v>
      </c>
      <c r="F1550">
        <v>92144.42</v>
      </c>
    </row>
    <row r="1551" spans="1:6" x14ac:dyDescent="0.3">
      <c r="A1551">
        <v>2024</v>
      </c>
      <c r="B1551">
        <v>8</v>
      </c>
      <c r="C1551" t="s">
        <v>40</v>
      </c>
      <c r="D1551" t="s">
        <v>48</v>
      </c>
      <c r="E1551" t="s">
        <v>50</v>
      </c>
      <c r="F1551">
        <v>16716.86</v>
      </c>
    </row>
    <row r="1552" spans="1:6" x14ac:dyDescent="0.3">
      <c r="A1552">
        <v>2024</v>
      </c>
      <c r="B1552">
        <v>8</v>
      </c>
      <c r="C1552" t="s">
        <v>41</v>
      </c>
      <c r="D1552" t="s">
        <v>48</v>
      </c>
      <c r="E1552" t="s">
        <v>50</v>
      </c>
      <c r="F1552">
        <v>71319.009999999995</v>
      </c>
    </row>
    <row r="1553" spans="1:6" x14ac:dyDescent="0.3">
      <c r="A1553">
        <v>2024</v>
      </c>
      <c r="B1553">
        <v>8</v>
      </c>
      <c r="C1553" t="s">
        <v>42</v>
      </c>
      <c r="D1553" t="s">
        <v>48</v>
      </c>
      <c r="E1553" t="s">
        <v>50</v>
      </c>
      <c r="F1553">
        <v>69035.91</v>
      </c>
    </row>
    <row r="1554" spans="1:6" x14ac:dyDescent="0.3">
      <c r="A1554">
        <v>2024</v>
      </c>
      <c r="B1554">
        <v>8</v>
      </c>
      <c r="C1554" t="s">
        <v>43</v>
      </c>
      <c r="D1554" t="s">
        <v>48</v>
      </c>
      <c r="E1554" t="s">
        <v>50</v>
      </c>
      <c r="F1554">
        <v>48287.96</v>
      </c>
    </row>
    <row r="1555" spans="1:6" x14ac:dyDescent="0.3">
      <c r="A1555">
        <v>2024</v>
      </c>
      <c r="B1555">
        <v>8</v>
      </c>
      <c r="C1555" t="s">
        <v>44</v>
      </c>
      <c r="D1555" t="s">
        <v>48</v>
      </c>
      <c r="E1555" t="s">
        <v>50</v>
      </c>
      <c r="F1555">
        <v>106622.51</v>
      </c>
    </row>
    <row r="1556" spans="1:6" x14ac:dyDescent="0.3">
      <c r="A1556">
        <v>2024</v>
      </c>
      <c r="B1556">
        <v>8</v>
      </c>
      <c r="C1556" t="s">
        <v>45</v>
      </c>
      <c r="D1556" t="s">
        <v>48</v>
      </c>
      <c r="E1556" t="s">
        <v>50</v>
      </c>
      <c r="F1556">
        <v>86475.46</v>
      </c>
    </row>
    <row r="1557" spans="1:6" x14ac:dyDescent="0.3">
      <c r="A1557">
        <v>2024</v>
      </c>
      <c r="B1557">
        <v>8</v>
      </c>
      <c r="C1557" t="s">
        <v>37</v>
      </c>
      <c r="D1557" t="s">
        <v>48</v>
      </c>
      <c r="E1557" t="s">
        <v>51</v>
      </c>
      <c r="F1557">
        <v>104218.86</v>
      </c>
    </row>
    <row r="1558" spans="1:6" x14ac:dyDescent="0.3">
      <c r="A1558">
        <v>2024</v>
      </c>
      <c r="B1558">
        <v>8</v>
      </c>
      <c r="C1558" t="s">
        <v>40</v>
      </c>
      <c r="D1558" t="s">
        <v>48</v>
      </c>
      <c r="E1558" t="s">
        <v>51</v>
      </c>
      <c r="F1558">
        <v>111748</v>
      </c>
    </row>
    <row r="1559" spans="1:6" x14ac:dyDescent="0.3">
      <c r="A1559">
        <v>2024</v>
      </c>
      <c r="B1559">
        <v>8</v>
      </c>
      <c r="C1559" t="s">
        <v>41</v>
      </c>
      <c r="D1559" t="s">
        <v>48</v>
      </c>
      <c r="E1559" t="s">
        <v>51</v>
      </c>
      <c r="F1559">
        <v>81664.679999999993</v>
      </c>
    </row>
    <row r="1560" spans="1:6" x14ac:dyDescent="0.3">
      <c r="A1560">
        <v>2024</v>
      </c>
      <c r="B1560">
        <v>8</v>
      </c>
      <c r="C1560" t="s">
        <v>42</v>
      </c>
      <c r="D1560" t="s">
        <v>48</v>
      </c>
      <c r="E1560" t="s">
        <v>51</v>
      </c>
      <c r="F1560">
        <v>57805.94</v>
      </c>
    </row>
    <row r="1561" spans="1:6" x14ac:dyDescent="0.3">
      <c r="A1561">
        <v>2024</v>
      </c>
      <c r="B1561">
        <v>8</v>
      </c>
      <c r="C1561" t="s">
        <v>43</v>
      </c>
      <c r="D1561" t="s">
        <v>48</v>
      </c>
      <c r="E1561" t="s">
        <v>51</v>
      </c>
      <c r="F1561">
        <v>140405.43</v>
      </c>
    </row>
    <row r="1562" spans="1:6" x14ac:dyDescent="0.3">
      <c r="A1562">
        <v>2024</v>
      </c>
      <c r="B1562">
        <v>8</v>
      </c>
      <c r="C1562" t="s">
        <v>44</v>
      </c>
      <c r="D1562" t="s">
        <v>48</v>
      </c>
      <c r="E1562" t="s">
        <v>51</v>
      </c>
      <c r="F1562">
        <v>66695.3</v>
      </c>
    </row>
    <row r="1563" spans="1:6" x14ac:dyDescent="0.3">
      <c r="A1563">
        <v>2024</v>
      </c>
      <c r="B1563">
        <v>8</v>
      </c>
      <c r="C1563" t="s">
        <v>45</v>
      </c>
      <c r="D1563" t="s">
        <v>48</v>
      </c>
      <c r="E1563" t="s">
        <v>51</v>
      </c>
      <c r="F1563">
        <v>39978.080000000002</v>
      </c>
    </row>
    <row r="1564" spans="1:6" x14ac:dyDescent="0.3">
      <c r="A1564">
        <v>2024</v>
      </c>
      <c r="B1564">
        <v>8</v>
      </c>
      <c r="C1564" t="s">
        <v>37</v>
      </c>
      <c r="D1564" t="s">
        <v>48</v>
      </c>
      <c r="E1564" t="s">
        <v>52</v>
      </c>
      <c r="F1564">
        <v>42477.35</v>
      </c>
    </row>
    <row r="1565" spans="1:6" x14ac:dyDescent="0.3">
      <c r="A1565">
        <v>2024</v>
      </c>
      <c r="B1565">
        <v>8</v>
      </c>
      <c r="C1565" t="s">
        <v>40</v>
      </c>
      <c r="D1565" t="s">
        <v>48</v>
      </c>
      <c r="E1565" t="s">
        <v>52</v>
      </c>
      <c r="F1565">
        <v>64664.98</v>
      </c>
    </row>
    <row r="1566" spans="1:6" x14ac:dyDescent="0.3">
      <c r="A1566">
        <v>2024</v>
      </c>
      <c r="B1566">
        <v>8</v>
      </c>
      <c r="C1566" t="s">
        <v>41</v>
      </c>
      <c r="D1566" t="s">
        <v>48</v>
      </c>
      <c r="E1566" t="s">
        <v>52</v>
      </c>
      <c r="F1566">
        <v>41328.870000000003</v>
      </c>
    </row>
    <row r="1567" spans="1:6" x14ac:dyDescent="0.3">
      <c r="A1567">
        <v>2024</v>
      </c>
      <c r="B1567">
        <v>8</v>
      </c>
      <c r="C1567" t="s">
        <v>42</v>
      </c>
      <c r="D1567" t="s">
        <v>48</v>
      </c>
      <c r="E1567" t="s">
        <v>52</v>
      </c>
      <c r="F1567">
        <v>51207.43</v>
      </c>
    </row>
    <row r="1568" spans="1:6" x14ac:dyDescent="0.3">
      <c r="A1568">
        <v>2024</v>
      </c>
      <c r="B1568">
        <v>8</v>
      </c>
      <c r="C1568" t="s">
        <v>43</v>
      </c>
      <c r="D1568" t="s">
        <v>48</v>
      </c>
      <c r="E1568" t="s">
        <v>52</v>
      </c>
      <c r="F1568">
        <v>80301.279999999999</v>
      </c>
    </row>
    <row r="1569" spans="1:6" x14ac:dyDescent="0.3">
      <c r="A1569">
        <v>2024</v>
      </c>
      <c r="B1569">
        <v>8</v>
      </c>
      <c r="C1569" t="s">
        <v>44</v>
      </c>
      <c r="D1569" t="s">
        <v>48</v>
      </c>
      <c r="E1569" t="s">
        <v>52</v>
      </c>
      <c r="F1569">
        <v>21492.86</v>
      </c>
    </row>
    <row r="1570" spans="1:6" x14ac:dyDescent="0.3">
      <c r="A1570">
        <v>2024</v>
      </c>
      <c r="B1570">
        <v>8</v>
      </c>
      <c r="C1570" t="s">
        <v>45</v>
      </c>
      <c r="D1570" t="s">
        <v>48</v>
      </c>
      <c r="E1570" t="s">
        <v>52</v>
      </c>
      <c r="F1570">
        <v>85398.62</v>
      </c>
    </row>
    <row r="1571" spans="1:6" x14ac:dyDescent="0.3">
      <c r="A1571">
        <v>2024</v>
      </c>
      <c r="B1571">
        <v>8</v>
      </c>
      <c r="C1571" t="s">
        <v>37</v>
      </c>
      <c r="D1571" t="s">
        <v>48</v>
      </c>
      <c r="E1571" t="s">
        <v>53</v>
      </c>
      <c r="F1571">
        <v>20748.12</v>
      </c>
    </row>
    <row r="1572" spans="1:6" x14ac:dyDescent="0.3">
      <c r="A1572">
        <v>2024</v>
      </c>
      <c r="B1572">
        <v>8</v>
      </c>
      <c r="C1572" t="s">
        <v>40</v>
      </c>
      <c r="D1572" t="s">
        <v>48</v>
      </c>
      <c r="E1572" t="s">
        <v>53</v>
      </c>
      <c r="F1572">
        <v>88114.83</v>
      </c>
    </row>
    <row r="1573" spans="1:6" x14ac:dyDescent="0.3">
      <c r="A1573">
        <v>2024</v>
      </c>
      <c r="B1573">
        <v>8</v>
      </c>
      <c r="C1573" t="s">
        <v>41</v>
      </c>
      <c r="D1573" t="s">
        <v>48</v>
      </c>
      <c r="E1573" t="s">
        <v>53</v>
      </c>
      <c r="F1573">
        <v>13017.27</v>
      </c>
    </row>
    <row r="1574" spans="1:6" x14ac:dyDescent="0.3">
      <c r="A1574">
        <v>2024</v>
      </c>
      <c r="B1574">
        <v>8</v>
      </c>
      <c r="C1574" t="s">
        <v>42</v>
      </c>
      <c r="D1574" t="s">
        <v>48</v>
      </c>
      <c r="E1574" t="s">
        <v>53</v>
      </c>
      <c r="F1574">
        <v>69145.23</v>
      </c>
    </row>
    <row r="1575" spans="1:6" x14ac:dyDescent="0.3">
      <c r="A1575">
        <v>2024</v>
      </c>
      <c r="B1575">
        <v>8</v>
      </c>
      <c r="C1575" t="s">
        <v>43</v>
      </c>
      <c r="D1575" t="s">
        <v>48</v>
      </c>
      <c r="E1575" t="s">
        <v>53</v>
      </c>
      <c r="F1575">
        <v>59719.53</v>
      </c>
    </row>
    <row r="1576" spans="1:6" x14ac:dyDescent="0.3">
      <c r="A1576">
        <v>2024</v>
      </c>
      <c r="B1576">
        <v>8</v>
      </c>
      <c r="C1576" t="s">
        <v>44</v>
      </c>
      <c r="D1576" t="s">
        <v>48</v>
      </c>
      <c r="E1576" t="s">
        <v>53</v>
      </c>
      <c r="F1576">
        <v>102788.44</v>
      </c>
    </row>
    <row r="1577" spans="1:6" x14ac:dyDescent="0.3">
      <c r="A1577">
        <v>2024</v>
      </c>
      <c r="B1577">
        <v>8</v>
      </c>
      <c r="C1577" t="s">
        <v>45</v>
      </c>
      <c r="D1577" t="s">
        <v>48</v>
      </c>
      <c r="E1577" t="s">
        <v>53</v>
      </c>
      <c r="F1577">
        <v>31308.560000000001</v>
      </c>
    </row>
    <row r="1578" spans="1:6" x14ac:dyDescent="0.3">
      <c r="A1578">
        <v>2024</v>
      </c>
      <c r="B1578">
        <v>8</v>
      </c>
      <c r="C1578" t="s">
        <v>37</v>
      </c>
      <c r="D1578" t="s">
        <v>48</v>
      </c>
      <c r="E1578" t="s">
        <v>54</v>
      </c>
      <c r="F1578">
        <v>87707.46</v>
      </c>
    </row>
    <row r="1579" spans="1:6" x14ac:dyDescent="0.3">
      <c r="A1579">
        <v>2024</v>
      </c>
      <c r="B1579">
        <v>8</v>
      </c>
      <c r="C1579" t="s">
        <v>40</v>
      </c>
      <c r="D1579" t="s">
        <v>48</v>
      </c>
      <c r="E1579" t="s">
        <v>54</v>
      </c>
      <c r="F1579">
        <v>62005.74</v>
      </c>
    </row>
    <row r="1580" spans="1:6" x14ac:dyDescent="0.3">
      <c r="A1580">
        <v>2024</v>
      </c>
      <c r="B1580">
        <v>8</v>
      </c>
      <c r="C1580" t="s">
        <v>41</v>
      </c>
      <c r="D1580" t="s">
        <v>48</v>
      </c>
      <c r="E1580" t="s">
        <v>54</v>
      </c>
      <c r="F1580">
        <v>47870.47</v>
      </c>
    </row>
    <row r="1581" spans="1:6" x14ac:dyDescent="0.3">
      <c r="A1581">
        <v>2024</v>
      </c>
      <c r="B1581">
        <v>8</v>
      </c>
      <c r="C1581" t="s">
        <v>42</v>
      </c>
      <c r="D1581" t="s">
        <v>48</v>
      </c>
      <c r="E1581" t="s">
        <v>54</v>
      </c>
      <c r="F1581">
        <v>50957.91</v>
      </c>
    </row>
    <row r="1582" spans="1:6" x14ac:dyDescent="0.3">
      <c r="A1582">
        <v>2024</v>
      </c>
      <c r="B1582">
        <v>8</v>
      </c>
      <c r="C1582" t="s">
        <v>43</v>
      </c>
      <c r="D1582" t="s">
        <v>48</v>
      </c>
      <c r="E1582" t="s">
        <v>54</v>
      </c>
      <c r="F1582">
        <v>54915.97</v>
      </c>
    </row>
    <row r="1583" spans="1:6" x14ac:dyDescent="0.3">
      <c r="A1583">
        <v>2024</v>
      </c>
      <c r="B1583">
        <v>8</v>
      </c>
      <c r="C1583" t="s">
        <v>44</v>
      </c>
      <c r="D1583" t="s">
        <v>48</v>
      </c>
      <c r="E1583" t="s">
        <v>54</v>
      </c>
      <c r="F1583">
        <v>105829.8</v>
      </c>
    </row>
    <row r="1584" spans="1:6" x14ac:dyDescent="0.3">
      <c r="A1584">
        <v>2024</v>
      </c>
      <c r="B1584">
        <v>8</v>
      </c>
      <c r="C1584" t="s">
        <v>45</v>
      </c>
      <c r="D1584" t="s">
        <v>48</v>
      </c>
      <c r="E1584" t="s">
        <v>54</v>
      </c>
      <c r="F1584">
        <v>93588.22</v>
      </c>
    </row>
    <row r="1585" spans="1:6" x14ac:dyDescent="0.3">
      <c r="A1585">
        <v>2024</v>
      </c>
      <c r="B1585">
        <v>8</v>
      </c>
      <c r="C1585" t="s">
        <v>37</v>
      </c>
      <c r="D1585" t="s">
        <v>48</v>
      </c>
      <c r="E1585" t="s">
        <v>55</v>
      </c>
      <c r="F1585">
        <v>28776.720000000001</v>
      </c>
    </row>
    <row r="1586" spans="1:6" x14ac:dyDescent="0.3">
      <c r="A1586">
        <v>2024</v>
      </c>
      <c r="B1586">
        <v>8</v>
      </c>
      <c r="C1586" t="s">
        <v>40</v>
      </c>
      <c r="D1586" t="s">
        <v>48</v>
      </c>
      <c r="E1586" t="s">
        <v>55</v>
      </c>
      <c r="F1586">
        <v>65264.02</v>
      </c>
    </row>
    <row r="1587" spans="1:6" x14ac:dyDescent="0.3">
      <c r="A1587">
        <v>2024</v>
      </c>
      <c r="B1587">
        <v>8</v>
      </c>
      <c r="C1587" t="s">
        <v>41</v>
      </c>
      <c r="D1587" t="s">
        <v>48</v>
      </c>
      <c r="E1587" t="s">
        <v>55</v>
      </c>
      <c r="F1587">
        <v>93611.53</v>
      </c>
    </row>
    <row r="1588" spans="1:6" x14ac:dyDescent="0.3">
      <c r="A1588">
        <v>2024</v>
      </c>
      <c r="B1588">
        <v>8</v>
      </c>
      <c r="C1588" t="s">
        <v>42</v>
      </c>
      <c r="D1588" t="s">
        <v>48</v>
      </c>
      <c r="E1588" t="s">
        <v>55</v>
      </c>
      <c r="F1588">
        <v>99629.78</v>
      </c>
    </row>
    <row r="1589" spans="1:6" x14ac:dyDescent="0.3">
      <c r="A1589">
        <v>2024</v>
      </c>
      <c r="B1589">
        <v>8</v>
      </c>
      <c r="C1589" t="s">
        <v>43</v>
      </c>
      <c r="D1589" t="s">
        <v>48</v>
      </c>
      <c r="E1589" t="s">
        <v>55</v>
      </c>
      <c r="F1589">
        <v>54934.61</v>
      </c>
    </row>
    <row r="1590" spans="1:6" x14ac:dyDescent="0.3">
      <c r="A1590">
        <v>2024</v>
      </c>
      <c r="B1590">
        <v>8</v>
      </c>
      <c r="C1590" t="s">
        <v>44</v>
      </c>
      <c r="D1590" t="s">
        <v>48</v>
      </c>
      <c r="E1590" t="s">
        <v>55</v>
      </c>
      <c r="F1590">
        <v>86719.54</v>
      </c>
    </row>
    <row r="1591" spans="1:6" x14ac:dyDescent="0.3">
      <c r="A1591">
        <v>2024</v>
      </c>
      <c r="B1591">
        <v>8</v>
      </c>
      <c r="C1591" t="s">
        <v>45</v>
      </c>
      <c r="D1591" t="s">
        <v>48</v>
      </c>
      <c r="E1591" t="s">
        <v>55</v>
      </c>
      <c r="F1591">
        <v>87961.75</v>
      </c>
    </row>
    <row r="1592" spans="1:6" x14ac:dyDescent="0.3">
      <c r="A1592">
        <v>2024</v>
      </c>
      <c r="B1592">
        <v>8</v>
      </c>
      <c r="C1592" t="s">
        <v>37</v>
      </c>
      <c r="D1592" t="s">
        <v>48</v>
      </c>
      <c r="E1592" t="s">
        <v>56</v>
      </c>
      <c r="F1592">
        <v>130719.41</v>
      </c>
    </row>
    <row r="1593" spans="1:6" x14ac:dyDescent="0.3">
      <c r="A1593">
        <v>2024</v>
      </c>
      <c r="B1593">
        <v>8</v>
      </c>
      <c r="C1593" t="s">
        <v>40</v>
      </c>
      <c r="D1593" t="s">
        <v>48</v>
      </c>
      <c r="E1593" t="s">
        <v>56</v>
      </c>
      <c r="F1593">
        <v>120711.14</v>
      </c>
    </row>
    <row r="1594" spans="1:6" x14ac:dyDescent="0.3">
      <c r="A1594">
        <v>2024</v>
      </c>
      <c r="B1594">
        <v>8</v>
      </c>
      <c r="C1594" t="s">
        <v>41</v>
      </c>
      <c r="D1594" t="s">
        <v>48</v>
      </c>
      <c r="E1594" t="s">
        <v>56</v>
      </c>
      <c r="F1594">
        <v>95833.62</v>
      </c>
    </row>
    <row r="1595" spans="1:6" x14ac:dyDescent="0.3">
      <c r="A1595">
        <v>2024</v>
      </c>
      <c r="B1595">
        <v>8</v>
      </c>
      <c r="C1595" t="s">
        <v>42</v>
      </c>
      <c r="D1595" t="s">
        <v>48</v>
      </c>
      <c r="E1595" t="s">
        <v>56</v>
      </c>
      <c r="F1595">
        <v>85905.68</v>
      </c>
    </row>
    <row r="1596" spans="1:6" x14ac:dyDescent="0.3">
      <c r="A1596">
        <v>2024</v>
      </c>
      <c r="B1596">
        <v>8</v>
      </c>
      <c r="C1596" t="s">
        <v>43</v>
      </c>
      <c r="D1596" t="s">
        <v>48</v>
      </c>
      <c r="E1596" t="s">
        <v>56</v>
      </c>
      <c r="F1596">
        <v>102481.9</v>
      </c>
    </row>
    <row r="1597" spans="1:6" x14ac:dyDescent="0.3">
      <c r="A1597">
        <v>2024</v>
      </c>
      <c r="B1597">
        <v>8</v>
      </c>
      <c r="C1597" t="s">
        <v>44</v>
      </c>
      <c r="D1597" t="s">
        <v>48</v>
      </c>
      <c r="E1597" t="s">
        <v>56</v>
      </c>
      <c r="F1597">
        <v>47346.64</v>
      </c>
    </row>
    <row r="1598" spans="1:6" x14ac:dyDescent="0.3">
      <c r="A1598">
        <v>2024</v>
      </c>
      <c r="B1598">
        <v>8</v>
      </c>
      <c r="C1598" t="s">
        <v>45</v>
      </c>
      <c r="D1598" t="s">
        <v>48</v>
      </c>
      <c r="E1598" t="s">
        <v>56</v>
      </c>
      <c r="F1598">
        <v>83068.149999999994</v>
      </c>
    </row>
    <row r="1599" spans="1:6" x14ac:dyDescent="0.3">
      <c r="A1599">
        <v>2024</v>
      </c>
      <c r="B1599">
        <v>8</v>
      </c>
      <c r="C1599" t="s">
        <v>37</v>
      </c>
      <c r="D1599" t="s">
        <v>57</v>
      </c>
      <c r="E1599" t="s">
        <v>58</v>
      </c>
      <c r="F1599">
        <v>15624.37</v>
      </c>
    </row>
    <row r="1600" spans="1:6" x14ac:dyDescent="0.3">
      <c r="A1600">
        <v>2024</v>
      </c>
      <c r="B1600">
        <v>8</v>
      </c>
      <c r="C1600" t="s">
        <v>37</v>
      </c>
      <c r="D1600" t="s">
        <v>57</v>
      </c>
      <c r="E1600" t="s">
        <v>59</v>
      </c>
      <c r="F1600">
        <v>32232.09</v>
      </c>
    </row>
    <row r="1601" spans="1:6" x14ac:dyDescent="0.3">
      <c r="A1601">
        <v>2024</v>
      </c>
      <c r="B1601">
        <v>8</v>
      </c>
      <c r="C1601" t="s">
        <v>37</v>
      </c>
      <c r="D1601" t="s">
        <v>57</v>
      </c>
      <c r="E1601" t="s">
        <v>60</v>
      </c>
      <c r="F1601">
        <v>37210.85</v>
      </c>
    </row>
    <row r="1602" spans="1:6" x14ac:dyDescent="0.3">
      <c r="A1602">
        <v>2024</v>
      </c>
      <c r="B1602">
        <v>9</v>
      </c>
      <c r="C1602" t="s">
        <v>37</v>
      </c>
      <c r="D1602" t="s">
        <v>38</v>
      </c>
      <c r="E1602" t="s">
        <v>39</v>
      </c>
      <c r="F1602">
        <v>71115.87</v>
      </c>
    </row>
    <row r="1603" spans="1:6" x14ac:dyDescent="0.3">
      <c r="A1603">
        <v>2024</v>
      </c>
      <c r="B1603">
        <v>9</v>
      </c>
      <c r="C1603" t="s">
        <v>40</v>
      </c>
      <c r="D1603" t="s">
        <v>38</v>
      </c>
      <c r="E1603" t="s">
        <v>39</v>
      </c>
      <c r="F1603">
        <v>14178.3</v>
      </c>
    </row>
    <row r="1604" spans="1:6" x14ac:dyDescent="0.3">
      <c r="A1604">
        <v>2024</v>
      </c>
      <c r="B1604">
        <v>9</v>
      </c>
      <c r="C1604" t="s">
        <v>41</v>
      </c>
      <c r="D1604" t="s">
        <v>38</v>
      </c>
      <c r="E1604" t="s">
        <v>39</v>
      </c>
      <c r="F1604">
        <v>107458.77</v>
      </c>
    </row>
    <row r="1605" spans="1:6" x14ac:dyDescent="0.3">
      <c r="A1605">
        <v>2024</v>
      </c>
      <c r="B1605">
        <v>9</v>
      </c>
      <c r="C1605" t="s">
        <v>42</v>
      </c>
      <c r="D1605" t="s">
        <v>38</v>
      </c>
      <c r="E1605" t="s">
        <v>39</v>
      </c>
      <c r="F1605">
        <v>84714.12</v>
      </c>
    </row>
    <row r="1606" spans="1:6" x14ac:dyDescent="0.3">
      <c r="A1606">
        <v>2024</v>
      </c>
      <c r="B1606">
        <v>9</v>
      </c>
      <c r="C1606" t="s">
        <v>43</v>
      </c>
      <c r="D1606" t="s">
        <v>38</v>
      </c>
      <c r="E1606" t="s">
        <v>39</v>
      </c>
      <c r="F1606">
        <v>60461.440000000002</v>
      </c>
    </row>
    <row r="1607" spans="1:6" x14ac:dyDescent="0.3">
      <c r="A1607">
        <v>2024</v>
      </c>
      <c r="B1607">
        <v>9</v>
      </c>
      <c r="C1607" t="s">
        <v>44</v>
      </c>
      <c r="D1607" t="s">
        <v>38</v>
      </c>
      <c r="E1607" t="s">
        <v>39</v>
      </c>
      <c r="F1607">
        <v>19191.39</v>
      </c>
    </row>
    <row r="1608" spans="1:6" x14ac:dyDescent="0.3">
      <c r="A1608">
        <v>2024</v>
      </c>
      <c r="B1608">
        <v>9</v>
      </c>
      <c r="C1608" t="s">
        <v>45</v>
      </c>
      <c r="D1608" t="s">
        <v>38</v>
      </c>
      <c r="E1608" t="s">
        <v>39</v>
      </c>
      <c r="F1608">
        <v>73469.279999999999</v>
      </c>
    </row>
    <row r="1609" spans="1:6" x14ac:dyDescent="0.3">
      <c r="A1609">
        <v>2024</v>
      </c>
      <c r="B1609">
        <v>9</v>
      </c>
      <c r="C1609" t="s">
        <v>37</v>
      </c>
      <c r="D1609" t="s">
        <v>38</v>
      </c>
      <c r="E1609" t="s">
        <v>46</v>
      </c>
      <c r="F1609">
        <v>41142.28</v>
      </c>
    </row>
    <row r="1610" spans="1:6" x14ac:dyDescent="0.3">
      <c r="A1610">
        <v>2024</v>
      </c>
      <c r="B1610">
        <v>9</v>
      </c>
      <c r="C1610" t="s">
        <v>40</v>
      </c>
      <c r="D1610" t="s">
        <v>38</v>
      </c>
      <c r="E1610" t="s">
        <v>46</v>
      </c>
      <c r="F1610">
        <v>40571.57</v>
      </c>
    </row>
    <row r="1611" spans="1:6" x14ac:dyDescent="0.3">
      <c r="A1611">
        <v>2024</v>
      </c>
      <c r="B1611">
        <v>9</v>
      </c>
      <c r="C1611" t="s">
        <v>41</v>
      </c>
      <c r="D1611" t="s">
        <v>38</v>
      </c>
      <c r="E1611" t="s">
        <v>46</v>
      </c>
      <c r="F1611">
        <v>34400.31</v>
      </c>
    </row>
    <row r="1612" spans="1:6" x14ac:dyDescent="0.3">
      <c r="A1612">
        <v>2024</v>
      </c>
      <c r="B1612">
        <v>9</v>
      </c>
      <c r="C1612" t="s">
        <v>42</v>
      </c>
      <c r="D1612" t="s">
        <v>38</v>
      </c>
      <c r="E1612" t="s">
        <v>46</v>
      </c>
      <c r="F1612">
        <v>86063.4</v>
      </c>
    </row>
    <row r="1613" spans="1:6" x14ac:dyDescent="0.3">
      <c r="A1613">
        <v>2024</v>
      </c>
      <c r="B1613">
        <v>9</v>
      </c>
      <c r="C1613" t="s">
        <v>43</v>
      </c>
      <c r="D1613" t="s">
        <v>38</v>
      </c>
      <c r="E1613" t="s">
        <v>46</v>
      </c>
      <c r="F1613">
        <v>87109.5</v>
      </c>
    </row>
    <row r="1614" spans="1:6" x14ac:dyDescent="0.3">
      <c r="A1614">
        <v>2024</v>
      </c>
      <c r="B1614">
        <v>9</v>
      </c>
      <c r="C1614" t="s">
        <v>44</v>
      </c>
      <c r="D1614" t="s">
        <v>38</v>
      </c>
      <c r="E1614" t="s">
        <v>46</v>
      </c>
      <c r="F1614">
        <v>25772.21</v>
      </c>
    </row>
    <row r="1615" spans="1:6" x14ac:dyDescent="0.3">
      <c r="A1615">
        <v>2024</v>
      </c>
      <c r="B1615">
        <v>9</v>
      </c>
      <c r="C1615" t="s">
        <v>45</v>
      </c>
      <c r="D1615" t="s">
        <v>38</v>
      </c>
      <c r="E1615" t="s">
        <v>46</v>
      </c>
      <c r="F1615">
        <v>101648.12</v>
      </c>
    </row>
    <row r="1616" spans="1:6" x14ac:dyDescent="0.3">
      <c r="A1616">
        <v>2024</v>
      </c>
      <c r="B1616">
        <v>9</v>
      </c>
      <c r="C1616" t="s">
        <v>37</v>
      </c>
      <c r="D1616" t="s">
        <v>38</v>
      </c>
      <c r="E1616" t="s">
        <v>47</v>
      </c>
      <c r="F1616">
        <v>9254.15</v>
      </c>
    </row>
    <row r="1617" spans="1:6" x14ac:dyDescent="0.3">
      <c r="A1617">
        <v>2024</v>
      </c>
      <c r="B1617">
        <v>9</v>
      </c>
      <c r="C1617" t="s">
        <v>40</v>
      </c>
      <c r="D1617" t="s">
        <v>38</v>
      </c>
      <c r="E1617" t="s">
        <v>47</v>
      </c>
      <c r="F1617">
        <v>28810.959999999999</v>
      </c>
    </row>
    <row r="1618" spans="1:6" x14ac:dyDescent="0.3">
      <c r="A1618">
        <v>2024</v>
      </c>
      <c r="B1618">
        <v>9</v>
      </c>
      <c r="C1618" t="s">
        <v>41</v>
      </c>
      <c r="D1618" t="s">
        <v>38</v>
      </c>
      <c r="E1618" t="s">
        <v>47</v>
      </c>
      <c r="F1618">
        <v>114129.97</v>
      </c>
    </row>
    <row r="1619" spans="1:6" x14ac:dyDescent="0.3">
      <c r="A1619">
        <v>2024</v>
      </c>
      <c r="B1619">
        <v>9</v>
      </c>
      <c r="C1619" t="s">
        <v>42</v>
      </c>
      <c r="D1619" t="s">
        <v>38</v>
      </c>
      <c r="E1619" t="s">
        <v>47</v>
      </c>
      <c r="F1619">
        <v>140594.14000000001</v>
      </c>
    </row>
    <row r="1620" spans="1:6" x14ac:dyDescent="0.3">
      <c r="A1620">
        <v>2024</v>
      </c>
      <c r="B1620">
        <v>9</v>
      </c>
      <c r="C1620" t="s">
        <v>43</v>
      </c>
      <c r="D1620" t="s">
        <v>38</v>
      </c>
      <c r="E1620" t="s">
        <v>47</v>
      </c>
      <c r="F1620">
        <v>32947.35</v>
      </c>
    </row>
    <row r="1621" spans="1:6" x14ac:dyDescent="0.3">
      <c r="A1621">
        <v>2024</v>
      </c>
      <c r="B1621">
        <v>9</v>
      </c>
      <c r="C1621" t="s">
        <v>44</v>
      </c>
      <c r="D1621" t="s">
        <v>38</v>
      </c>
      <c r="E1621" t="s">
        <v>47</v>
      </c>
      <c r="F1621">
        <v>14695.78</v>
      </c>
    </row>
    <row r="1622" spans="1:6" x14ac:dyDescent="0.3">
      <c r="A1622">
        <v>2024</v>
      </c>
      <c r="B1622">
        <v>9</v>
      </c>
      <c r="C1622" t="s">
        <v>45</v>
      </c>
      <c r="D1622" t="s">
        <v>38</v>
      </c>
      <c r="E1622" t="s">
        <v>47</v>
      </c>
      <c r="F1622">
        <v>72541.73</v>
      </c>
    </row>
    <row r="1623" spans="1:6" x14ac:dyDescent="0.3">
      <c r="A1623">
        <v>2024</v>
      </c>
      <c r="B1623">
        <v>9</v>
      </c>
      <c r="C1623" t="s">
        <v>37</v>
      </c>
      <c r="D1623" t="s">
        <v>48</v>
      </c>
      <c r="E1623" t="s">
        <v>49</v>
      </c>
      <c r="F1623">
        <v>35963.879999999997</v>
      </c>
    </row>
    <row r="1624" spans="1:6" x14ac:dyDescent="0.3">
      <c r="A1624">
        <v>2024</v>
      </c>
      <c r="B1624">
        <v>9</v>
      </c>
      <c r="C1624" t="s">
        <v>40</v>
      </c>
      <c r="D1624" t="s">
        <v>48</v>
      </c>
      <c r="E1624" t="s">
        <v>49</v>
      </c>
      <c r="F1624">
        <v>103486.88</v>
      </c>
    </row>
    <row r="1625" spans="1:6" x14ac:dyDescent="0.3">
      <c r="A1625">
        <v>2024</v>
      </c>
      <c r="B1625">
        <v>9</v>
      </c>
      <c r="C1625" t="s">
        <v>41</v>
      </c>
      <c r="D1625" t="s">
        <v>48</v>
      </c>
      <c r="E1625" t="s">
        <v>49</v>
      </c>
      <c r="F1625">
        <v>21298.240000000002</v>
      </c>
    </row>
    <row r="1626" spans="1:6" x14ac:dyDescent="0.3">
      <c r="A1626">
        <v>2024</v>
      </c>
      <c r="B1626">
        <v>9</v>
      </c>
      <c r="C1626" t="s">
        <v>42</v>
      </c>
      <c r="D1626" t="s">
        <v>48</v>
      </c>
      <c r="E1626" t="s">
        <v>49</v>
      </c>
      <c r="F1626">
        <v>85125.83</v>
      </c>
    </row>
    <row r="1627" spans="1:6" x14ac:dyDescent="0.3">
      <c r="A1627">
        <v>2024</v>
      </c>
      <c r="B1627">
        <v>9</v>
      </c>
      <c r="C1627" t="s">
        <v>43</v>
      </c>
      <c r="D1627" t="s">
        <v>48</v>
      </c>
      <c r="E1627" t="s">
        <v>49</v>
      </c>
      <c r="F1627">
        <v>110371.82</v>
      </c>
    </row>
    <row r="1628" spans="1:6" x14ac:dyDescent="0.3">
      <c r="A1628">
        <v>2024</v>
      </c>
      <c r="B1628">
        <v>9</v>
      </c>
      <c r="C1628" t="s">
        <v>44</v>
      </c>
      <c r="D1628" t="s">
        <v>48</v>
      </c>
      <c r="E1628" t="s">
        <v>49</v>
      </c>
      <c r="F1628">
        <v>10288.51</v>
      </c>
    </row>
    <row r="1629" spans="1:6" x14ac:dyDescent="0.3">
      <c r="A1629">
        <v>2024</v>
      </c>
      <c r="B1629">
        <v>9</v>
      </c>
      <c r="C1629" t="s">
        <v>45</v>
      </c>
      <c r="D1629" t="s">
        <v>48</v>
      </c>
      <c r="E1629" t="s">
        <v>49</v>
      </c>
      <c r="F1629">
        <v>26087.75</v>
      </c>
    </row>
    <row r="1630" spans="1:6" x14ac:dyDescent="0.3">
      <c r="A1630">
        <v>2024</v>
      </c>
      <c r="B1630">
        <v>9</v>
      </c>
      <c r="C1630" t="s">
        <v>37</v>
      </c>
      <c r="D1630" t="s">
        <v>48</v>
      </c>
      <c r="E1630" t="s">
        <v>50</v>
      </c>
      <c r="F1630">
        <v>88783.48</v>
      </c>
    </row>
    <row r="1631" spans="1:6" x14ac:dyDescent="0.3">
      <c r="A1631">
        <v>2024</v>
      </c>
      <c r="B1631">
        <v>9</v>
      </c>
      <c r="C1631" t="s">
        <v>40</v>
      </c>
      <c r="D1631" t="s">
        <v>48</v>
      </c>
      <c r="E1631" t="s">
        <v>50</v>
      </c>
      <c r="F1631">
        <v>57046.07</v>
      </c>
    </row>
    <row r="1632" spans="1:6" x14ac:dyDescent="0.3">
      <c r="A1632">
        <v>2024</v>
      </c>
      <c r="B1632">
        <v>9</v>
      </c>
      <c r="C1632" t="s">
        <v>41</v>
      </c>
      <c r="D1632" t="s">
        <v>48</v>
      </c>
      <c r="E1632" t="s">
        <v>50</v>
      </c>
      <c r="F1632">
        <v>60875.16</v>
      </c>
    </row>
    <row r="1633" spans="1:6" x14ac:dyDescent="0.3">
      <c r="A1633">
        <v>2024</v>
      </c>
      <c r="B1633">
        <v>9</v>
      </c>
      <c r="C1633" t="s">
        <v>42</v>
      </c>
      <c r="D1633" t="s">
        <v>48</v>
      </c>
      <c r="E1633" t="s">
        <v>50</v>
      </c>
      <c r="F1633">
        <v>109468.48</v>
      </c>
    </row>
    <row r="1634" spans="1:6" x14ac:dyDescent="0.3">
      <c r="A1634">
        <v>2024</v>
      </c>
      <c r="B1634">
        <v>9</v>
      </c>
      <c r="C1634" t="s">
        <v>43</v>
      </c>
      <c r="D1634" t="s">
        <v>48</v>
      </c>
      <c r="E1634" t="s">
        <v>50</v>
      </c>
      <c r="F1634">
        <v>54425.61</v>
      </c>
    </row>
    <row r="1635" spans="1:6" x14ac:dyDescent="0.3">
      <c r="A1635">
        <v>2024</v>
      </c>
      <c r="B1635">
        <v>9</v>
      </c>
      <c r="C1635" t="s">
        <v>44</v>
      </c>
      <c r="D1635" t="s">
        <v>48</v>
      </c>
      <c r="E1635" t="s">
        <v>50</v>
      </c>
      <c r="F1635">
        <v>105443.92</v>
      </c>
    </row>
    <row r="1636" spans="1:6" x14ac:dyDescent="0.3">
      <c r="A1636">
        <v>2024</v>
      </c>
      <c r="B1636">
        <v>9</v>
      </c>
      <c r="C1636" t="s">
        <v>45</v>
      </c>
      <c r="D1636" t="s">
        <v>48</v>
      </c>
      <c r="E1636" t="s">
        <v>50</v>
      </c>
      <c r="F1636">
        <v>80950.27</v>
      </c>
    </row>
    <row r="1637" spans="1:6" x14ac:dyDescent="0.3">
      <c r="A1637">
        <v>2024</v>
      </c>
      <c r="B1637">
        <v>9</v>
      </c>
      <c r="C1637" t="s">
        <v>37</v>
      </c>
      <c r="D1637" t="s">
        <v>48</v>
      </c>
      <c r="E1637" t="s">
        <v>51</v>
      </c>
      <c r="F1637">
        <v>11051.94</v>
      </c>
    </row>
    <row r="1638" spans="1:6" x14ac:dyDescent="0.3">
      <c r="A1638">
        <v>2024</v>
      </c>
      <c r="B1638">
        <v>9</v>
      </c>
      <c r="C1638" t="s">
        <v>40</v>
      </c>
      <c r="D1638" t="s">
        <v>48</v>
      </c>
      <c r="E1638" t="s">
        <v>51</v>
      </c>
      <c r="F1638">
        <v>9004.9699999999993</v>
      </c>
    </row>
    <row r="1639" spans="1:6" x14ac:dyDescent="0.3">
      <c r="A1639">
        <v>2024</v>
      </c>
      <c r="B1639">
        <v>9</v>
      </c>
      <c r="C1639" t="s">
        <v>41</v>
      </c>
      <c r="D1639" t="s">
        <v>48</v>
      </c>
      <c r="E1639" t="s">
        <v>51</v>
      </c>
      <c r="F1639">
        <v>63947.03</v>
      </c>
    </row>
    <row r="1640" spans="1:6" x14ac:dyDescent="0.3">
      <c r="A1640">
        <v>2024</v>
      </c>
      <c r="B1640">
        <v>9</v>
      </c>
      <c r="C1640" t="s">
        <v>42</v>
      </c>
      <c r="D1640" t="s">
        <v>48</v>
      </c>
      <c r="E1640" t="s">
        <v>51</v>
      </c>
      <c r="F1640">
        <v>96319.5</v>
      </c>
    </row>
    <row r="1641" spans="1:6" x14ac:dyDescent="0.3">
      <c r="A1641">
        <v>2024</v>
      </c>
      <c r="B1641">
        <v>9</v>
      </c>
      <c r="C1641" t="s">
        <v>43</v>
      </c>
      <c r="D1641" t="s">
        <v>48</v>
      </c>
      <c r="E1641" t="s">
        <v>51</v>
      </c>
      <c r="F1641">
        <v>28901.96</v>
      </c>
    </row>
    <row r="1642" spans="1:6" x14ac:dyDescent="0.3">
      <c r="A1642">
        <v>2024</v>
      </c>
      <c r="B1642">
        <v>9</v>
      </c>
      <c r="C1642" t="s">
        <v>44</v>
      </c>
      <c r="D1642" t="s">
        <v>48</v>
      </c>
      <c r="E1642" t="s">
        <v>51</v>
      </c>
      <c r="F1642">
        <v>10172.36</v>
      </c>
    </row>
    <row r="1643" spans="1:6" x14ac:dyDescent="0.3">
      <c r="A1643">
        <v>2024</v>
      </c>
      <c r="B1643">
        <v>9</v>
      </c>
      <c r="C1643" t="s">
        <v>45</v>
      </c>
      <c r="D1643" t="s">
        <v>48</v>
      </c>
      <c r="E1643" t="s">
        <v>51</v>
      </c>
      <c r="F1643">
        <v>34096.18</v>
      </c>
    </row>
    <row r="1644" spans="1:6" x14ac:dyDescent="0.3">
      <c r="A1644">
        <v>2024</v>
      </c>
      <c r="B1644">
        <v>9</v>
      </c>
      <c r="C1644" t="s">
        <v>37</v>
      </c>
      <c r="D1644" t="s">
        <v>48</v>
      </c>
      <c r="E1644" t="s">
        <v>52</v>
      </c>
      <c r="F1644">
        <v>25816.34</v>
      </c>
    </row>
    <row r="1645" spans="1:6" x14ac:dyDescent="0.3">
      <c r="A1645">
        <v>2024</v>
      </c>
      <c r="B1645">
        <v>9</v>
      </c>
      <c r="C1645" t="s">
        <v>40</v>
      </c>
      <c r="D1645" t="s">
        <v>48</v>
      </c>
      <c r="E1645" t="s">
        <v>52</v>
      </c>
      <c r="F1645">
        <v>113416.18</v>
      </c>
    </row>
    <row r="1646" spans="1:6" x14ac:dyDescent="0.3">
      <c r="A1646">
        <v>2024</v>
      </c>
      <c r="B1646">
        <v>9</v>
      </c>
      <c r="C1646" t="s">
        <v>41</v>
      </c>
      <c r="D1646" t="s">
        <v>48</v>
      </c>
      <c r="E1646" t="s">
        <v>52</v>
      </c>
      <c r="F1646">
        <v>94999.27</v>
      </c>
    </row>
    <row r="1647" spans="1:6" x14ac:dyDescent="0.3">
      <c r="A1647">
        <v>2024</v>
      </c>
      <c r="B1647">
        <v>9</v>
      </c>
      <c r="C1647" t="s">
        <v>42</v>
      </c>
      <c r="D1647" t="s">
        <v>48</v>
      </c>
      <c r="E1647" t="s">
        <v>52</v>
      </c>
      <c r="F1647">
        <v>24697.89</v>
      </c>
    </row>
    <row r="1648" spans="1:6" x14ac:dyDescent="0.3">
      <c r="A1648">
        <v>2024</v>
      </c>
      <c r="B1648">
        <v>9</v>
      </c>
      <c r="C1648" t="s">
        <v>43</v>
      </c>
      <c r="D1648" t="s">
        <v>48</v>
      </c>
      <c r="E1648" t="s">
        <v>52</v>
      </c>
      <c r="F1648">
        <v>43512.02</v>
      </c>
    </row>
    <row r="1649" spans="1:6" x14ac:dyDescent="0.3">
      <c r="A1649">
        <v>2024</v>
      </c>
      <c r="B1649">
        <v>9</v>
      </c>
      <c r="C1649" t="s">
        <v>44</v>
      </c>
      <c r="D1649" t="s">
        <v>48</v>
      </c>
      <c r="E1649" t="s">
        <v>52</v>
      </c>
      <c r="F1649">
        <v>121010.23</v>
      </c>
    </row>
    <row r="1650" spans="1:6" x14ac:dyDescent="0.3">
      <c r="A1650">
        <v>2024</v>
      </c>
      <c r="B1650">
        <v>9</v>
      </c>
      <c r="C1650" t="s">
        <v>45</v>
      </c>
      <c r="D1650" t="s">
        <v>48</v>
      </c>
      <c r="E1650" t="s">
        <v>52</v>
      </c>
      <c r="F1650">
        <v>42907.48</v>
      </c>
    </row>
    <row r="1651" spans="1:6" x14ac:dyDescent="0.3">
      <c r="A1651">
        <v>2024</v>
      </c>
      <c r="B1651">
        <v>9</v>
      </c>
      <c r="C1651" t="s">
        <v>37</v>
      </c>
      <c r="D1651" t="s">
        <v>48</v>
      </c>
      <c r="E1651" t="s">
        <v>53</v>
      </c>
      <c r="F1651">
        <v>42954.32</v>
      </c>
    </row>
    <row r="1652" spans="1:6" x14ac:dyDescent="0.3">
      <c r="A1652">
        <v>2024</v>
      </c>
      <c r="B1652">
        <v>9</v>
      </c>
      <c r="C1652" t="s">
        <v>40</v>
      </c>
      <c r="D1652" t="s">
        <v>48</v>
      </c>
      <c r="E1652" t="s">
        <v>53</v>
      </c>
      <c r="F1652">
        <v>65394.74</v>
      </c>
    </row>
    <row r="1653" spans="1:6" x14ac:dyDescent="0.3">
      <c r="A1653">
        <v>2024</v>
      </c>
      <c r="B1653">
        <v>9</v>
      </c>
      <c r="C1653" t="s">
        <v>41</v>
      </c>
      <c r="D1653" t="s">
        <v>48</v>
      </c>
      <c r="E1653" t="s">
        <v>53</v>
      </c>
      <c r="F1653">
        <v>127012.81</v>
      </c>
    </row>
    <row r="1654" spans="1:6" x14ac:dyDescent="0.3">
      <c r="A1654">
        <v>2024</v>
      </c>
      <c r="B1654">
        <v>9</v>
      </c>
      <c r="C1654" t="s">
        <v>42</v>
      </c>
      <c r="D1654" t="s">
        <v>48</v>
      </c>
      <c r="E1654" t="s">
        <v>53</v>
      </c>
      <c r="F1654">
        <v>93672.67</v>
      </c>
    </row>
    <row r="1655" spans="1:6" x14ac:dyDescent="0.3">
      <c r="A1655">
        <v>2024</v>
      </c>
      <c r="B1655">
        <v>9</v>
      </c>
      <c r="C1655" t="s">
        <v>43</v>
      </c>
      <c r="D1655" t="s">
        <v>48</v>
      </c>
      <c r="E1655" t="s">
        <v>53</v>
      </c>
      <c r="F1655">
        <v>85868.47</v>
      </c>
    </row>
    <row r="1656" spans="1:6" x14ac:dyDescent="0.3">
      <c r="A1656">
        <v>2024</v>
      </c>
      <c r="B1656">
        <v>9</v>
      </c>
      <c r="C1656" t="s">
        <v>44</v>
      </c>
      <c r="D1656" t="s">
        <v>48</v>
      </c>
      <c r="E1656" t="s">
        <v>53</v>
      </c>
      <c r="F1656">
        <v>119865.87</v>
      </c>
    </row>
    <row r="1657" spans="1:6" x14ac:dyDescent="0.3">
      <c r="A1657">
        <v>2024</v>
      </c>
      <c r="B1657">
        <v>9</v>
      </c>
      <c r="C1657" t="s">
        <v>45</v>
      </c>
      <c r="D1657" t="s">
        <v>48</v>
      </c>
      <c r="E1657" t="s">
        <v>53</v>
      </c>
      <c r="F1657">
        <v>96703.98</v>
      </c>
    </row>
    <row r="1658" spans="1:6" x14ac:dyDescent="0.3">
      <c r="A1658">
        <v>2024</v>
      </c>
      <c r="B1658">
        <v>9</v>
      </c>
      <c r="C1658" t="s">
        <v>37</v>
      </c>
      <c r="D1658" t="s">
        <v>48</v>
      </c>
      <c r="E1658" t="s">
        <v>54</v>
      </c>
      <c r="F1658">
        <v>78834.2</v>
      </c>
    </row>
    <row r="1659" spans="1:6" x14ac:dyDescent="0.3">
      <c r="A1659">
        <v>2024</v>
      </c>
      <c r="B1659">
        <v>9</v>
      </c>
      <c r="C1659" t="s">
        <v>40</v>
      </c>
      <c r="D1659" t="s">
        <v>48</v>
      </c>
      <c r="E1659" t="s">
        <v>54</v>
      </c>
      <c r="F1659">
        <v>68956.03</v>
      </c>
    </row>
    <row r="1660" spans="1:6" x14ac:dyDescent="0.3">
      <c r="A1660">
        <v>2024</v>
      </c>
      <c r="B1660">
        <v>9</v>
      </c>
      <c r="C1660" t="s">
        <v>41</v>
      </c>
      <c r="D1660" t="s">
        <v>48</v>
      </c>
      <c r="E1660" t="s">
        <v>54</v>
      </c>
      <c r="F1660">
        <v>16706.23</v>
      </c>
    </row>
    <row r="1661" spans="1:6" x14ac:dyDescent="0.3">
      <c r="A1661">
        <v>2024</v>
      </c>
      <c r="B1661">
        <v>9</v>
      </c>
      <c r="C1661" t="s">
        <v>42</v>
      </c>
      <c r="D1661" t="s">
        <v>48</v>
      </c>
      <c r="E1661" t="s">
        <v>54</v>
      </c>
      <c r="F1661">
        <v>83444.19</v>
      </c>
    </row>
    <row r="1662" spans="1:6" x14ac:dyDescent="0.3">
      <c r="A1662">
        <v>2024</v>
      </c>
      <c r="B1662">
        <v>9</v>
      </c>
      <c r="C1662" t="s">
        <v>43</v>
      </c>
      <c r="D1662" t="s">
        <v>48</v>
      </c>
      <c r="E1662" t="s">
        <v>54</v>
      </c>
      <c r="F1662">
        <v>12864.62</v>
      </c>
    </row>
    <row r="1663" spans="1:6" x14ac:dyDescent="0.3">
      <c r="A1663">
        <v>2024</v>
      </c>
      <c r="B1663">
        <v>9</v>
      </c>
      <c r="C1663" t="s">
        <v>44</v>
      </c>
      <c r="D1663" t="s">
        <v>48</v>
      </c>
      <c r="E1663" t="s">
        <v>54</v>
      </c>
      <c r="F1663">
        <v>111895.24</v>
      </c>
    </row>
    <row r="1664" spans="1:6" x14ac:dyDescent="0.3">
      <c r="A1664">
        <v>2024</v>
      </c>
      <c r="B1664">
        <v>9</v>
      </c>
      <c r="C1664" t="s">
        <v>45</v>
      </c>
      <c r="D1664" t="s">
        <v>48</v>
      </c>
      <c r="E1664" t="s">
        <v>54</v>
      </c>
      <c r="F1664">
        <v>34051.31</v>
      </c>
    </row>
    <row r="1665" spans="1:6" x14ac:dyDescent="0.3">
      <c r="A1665">
        <v>2024</v>
      </c>
      <c r="B1665">
        <v>9</v>
      </c>
      <c r="C1665" t="s">
        <v>37</v>
      </c>
      <c r="D1665" t="s">
        <v>48</v>
      </c>
      <c r="E1665" t="s">
        <v>55</v>
      </c>
      <c r="F1665">
        <v>19092.919999999998</v>
      </c>
    </row>
    <row r="1666" spans="1:6" x14ac:dyDescent="0.3">
      <c r="A1666">
        <v>2024</v>
      </c>
      <c r="B1666">
        <v>9</v>
      </c>
      <c r="C1666" t="s">
        <v>40</v>
      </c>
      <c r="D1666" t="s">
        <v>48</v>
      </c>
      <c r="E1666" t="s">
        <v>55</v>
      </c>
      <c r="F1666">
        <v>92425.09</v>
      </c>
    </row>
    <row r="1667" spans="1:6" x14ac:dyDescent="0.3">
      <c r="A1667">
        <v>2024</v>
      </c>
      <c r="B1667">
        <v>9</v>
      </c>
      <c r="C1667" t="s">
        <v>41</v>
      </c>
      <c r="D1667" t="s">
        <v>48</v>
      </c>
      <c r="E1667" t="s">
        <v>55</v>
      </c>
      <c r="F1667">
        <v>22891.37</v>
      </c>
    </row>
    <row r="1668" spans="1:6" x14ac:dyDescent="0.3">
      <c r="A1668">
        <v>2024</v>
      </c>
      <c r="B1668">
        <v>9</v>
      </c>
      <c r="C1668" t="s">
        <v>42</v>
      </c>
      <c r="D1668" t="s">
        <v>48</v>
      </c>
      <c r="E1668" t="s">
        <v>55</v>
      </c>
      <c r="F1668">
        <v>26462.14</v>
      </c>
    </row>
    <row r="1669" spans="1:6" x14ac:dyDescent="0.3">
      <c r="A1669">
        <v>2024</v>
      </c>
      <c r="B1669">
        <v>9</v>
      </c>
      <c r="C1669" t="s">
        <v>43</v>
      </c>
      <c r="D1669" t="s">
        <v>48</v>
      </c>
      <c r="E1669" t="s">
        <v>55</v>
      </c>
      <c r="F1669">
        <v>58694.12</v>
      </c>
    </row>
    <row r="1670" spans="1:6" x14ac:dyDescent="0.3">
      <c r="A1670">
        <v>2024</v>
      </c>
      <c r="B1670">
        <v>9</v>
      </c>
      <c r="C1670" t="s">
        <v>44</v>
      </c>
      <c r="D1670" t="s">
        <v>48</v>
      </c>
      <c r="E1670" t="s">
        <v>55</v>
      </c>
      <c r="F1670">
        <v>47957.34</v>
      </c>
    </row>
    <row r="1671" spans="1:6" x14ac:dyDescent="0.3">
      <c r="A1671">
        <v>2024</v>
      </c>
      <c r="B1671">
        <v>9</v>
      </c>
      <c r="C1671" t="s">
        <v>45</v>
      </c>
      <c r="D1671" t="s">
        <v>48</v>
      </c>
      <c r="E1671" t="s">
        <v>55</v>
      </c>
      <c r="F1671">
        <v>67524.88</v>
      </c>
    </row>
    <row r="1672" spans="1:6" x14ac:dyDescent="0.3">
      <c r="A1672">
        <v>2024</v>
      </c>
      <c r="B1672">
        <v>9</v>
      </c>
      <c r="C1672" t="s">
        <v>37</v>
      </c>
      <c r="D1672" t="s">
        <v>48</v>
      </c>
      <c r="E1672" t="s">
        <v>56</v>
      </c>
      <c r="F1672">
        <v>74817.59</v>
      </c>
    </row>
    <row r="1673" spans="1:6" x14ac:dyDescent="0.3">
      <c r="A1673">
        <v>2024</v>
      </c>
      <c r="B1673">
        <v>9</v>
      </c>
      <c r="C1673" t="s">
        <v>40</v>
      </c>
      <c r="D1673" t="s">
        <v>48</v>
      </c>
      <c r="E1673" t="s">
        <v>56</v>
      </c>
      <c r="F1673">
        <v>49032.61</v>
      </c>
    </row>
    <row r="1674" spans="1:6" x14ac:dyDescent="0.3">
      <c r="A1674">
        <v>2024</v>
      </c>
      <c r="B1674">
        <v>9</v>
      </c>
      <c r="C1674" t="s">
        <v>41</v>
      </c>
      <c r="D1674" t="s">
        <v>48</v>
      </c>
      <c r="E1674" t="s">
        <v>56</v>
      </c>
      <c r="F1674">
        <v>86194.16</v>
      </c>
    </row>
    <row r="1675" spans="1:6" x14ac:dyDescent="0.3">
      <c r="A1675">
        <v>2024</v>
      </c>
      <c r="B1675">
        <v>9</v>
      </c>
      <c r="C1675" t="s">
        <v>42</v>
      </c>
      <c r="D1675" t="s">
        <v>48</v>
      </c>
      <c r="E1675" t="s">
        <v>56</v>
      </c>
      <c r="F1675">
        <v>11030.44</v>
      </c>
    </row>
    <row r="1676" spans="1:6" x14ac:dyDescent="0.3">
      <c r="A1676">
        <v>2024</v>
      </c>
      <c r="B1676">
        <v>9</v>
      </c>
      <c r="C1676" t="s">
        <v>43</v>
      </c>
      <c r="D1676" t="s">
        <v>48</v>
      </c>
      <c r="E1676" t="s">
        <v>56</v>
      </c>
      <c r="F1676">
        <v>98279.33</v>
      </c>
    </row>
    <row r="1677" spans="1:6" x14ac:dyDescent="0.3">
      <c r="A1677">
        <v>2024</v>
      </c>
      <c r="B1677">
        <v>9</v>
      </c>
      <c r="C1677" t="s">
        <v>44</v>
      </c>
      <c r="D1677" t="s">
        <v>48</v>
      </c>
      <c r="E1677" t="s">
        <v>56</v>
      </c>
      <c r="F1677">
        <v>52100.18</v>
      </c>
    </row>
    <row r="1678" spans="1:6" x14ac:dyDescent="0.3">
      <c r="A1678">
        <v>2024</v>
      </c>
      <c r="B1678">
        <v>9</v>
      </c>
      <c r="C1678" t="s">
        <v>45</v>
      </c>
      <c r="D1678" t="s">
        <v>48</v>
      </c>
      <c r="E1678" t="s">
        <v>56</v>
      </c>
      <c r="F1678">
        <v>69794.03</v>
      </c>
    </row>
    <row r="1679" spans="1:6" x14ac:dyDescent="0.3">
      <c r="A1679">
        <v>2024</v>
      </c>
      <c r="B1679">
        <v>9</v>
      </c>
      <c r="C1679" t="s">
        <v>37</v>
      </c>
      <c r="D1679" t="s">
        <v>57</v>
      </c>
      <c r="E1679" t="s">
        <v>58</v>
      </c>
      <c r="F1679">
        <v>121120.18</v>
      </c>
    </row>
    <row r="1680" spans="1:6" x14ac:dyDescent="0.3">
      <c r="A1680">
        <v>2024</v>
      </c>
      <c r="B1680">
        <v>9</v>
      </c>
      <c r="C1680" t="s">
        <v>37</v>
      </c>
      <c r="D1680" t="s">
        <v>57</v>
      </c>
      <c r="E1680" t="s">
        <v>59</v>
      </c>
      <c r="F1680">
        <v>58634.55</v>
      </c>
    </row>
    <row r="1681" spans="1:6" x14ac:dyDescent="0.3">
      <c r="A1681">
        <v>2024</v>
      </c>
      <c r="B1681">
        <v>9</v>
      </c>
      <c r="C1681" t="s">
        <v>37</v>
      </c>
      <c r="D1681" t="s">
        <v>57</v>
      </c>
      <c r="E1681" t="s">
        <v>60</v>
      </c>
      <c r="F1681">
        <v>110005.09</v>
      </c>
    </row>
    <row r="1682" spans="1:6" x14ac:dyDescent="0.3">
      <c r="A1682">
        <v>2024</v>
      </c>
      <c r="B1682">
        <v>10</v>
      </c>
      <c r="C1682" t="s">
        <v>37</v>
      </c>
      <c r="D1682" t="s">
        <v>38</v>
      </c>
      <c r="E1682" t="s">
        <v>39</v>
      </c>
      <c r="F1682">
        <v>80566.69</v>
      </c>
    </row>
    <row r="1683" spans="1:6" x14ac:dyDescent="0.3">
      <c r="A1683">
        <v>2024</v>
      </c>
      <c r="B1683">
        <v>10</v>
      </c>
      <c r="C1683" t="s">
        <v>40</v>
      </c>
      <c r="D1683" t="s">
        <v>38</v>
      </c>
      <c r="E1683" t="s">
        <v>39</v>
      </c>
      <c r="F1683">
        <v>103757.51</v>
      </c>
    </row>
    <row r="1684" spans="1:6" x14ac:dyDescent="0.3">
      <c r="A1684">
        <v>2024</v>
      </c>
      <c r="B1684">
        <v>10</v>
      </c>
      <c r="C1684" t="s">
        <v>41</v>
      </c>
      <c r="D1684" t="s">
        <v>38</v>
      </c>
      <c r="E1684" t="s">
        <v>39</v>
      </c>
      <c r="F1684">
        <v>133044.66</v>
      </c>
    </row>
    <row r="1685" spans="1:6" x14ac:dyDescent="0.3">
      <c r="A1685">
        <v>2024</v>
      </c>
      <c r="B1685">
        <v>10</v>
      </c>
      <c r="C1685" t="s">
        <v>42</v>
      </c>
      <c r="D1685" t="s">
        <v>38</v>
      </c>
      <c r="E1685" t="s">
        <v>39</v>
      </c>
      <c r="F1685">
        <v>58304.4</v>
      </c>
    </row>
    <row r="1686" spans="1:6" x14ac:dyDescent="0.3">
      <c r="A1686">
        <v>2024</v>
      </c>
      <c r="B1686">
        <v>10</v>
      </c>
      <c r="C1686" t="s">
        <v>43</v>
      </c>
      <c r="D1686" t="s">
        <v>38</v>
      </c>
      <c r="E1686" t="s">
        <v>39</v>
      </c>
      <c r="F1686">
        <v>66756.039999999994</v>
      </c>
    </row>
    <row r="1687" spans="1:6" x14ac:dyDescent="0.3">
      <c r="A1687">
        <v>2024</v>
      </c>
      <c r="B1687">
        <v>10</v>
      </c>
      <c r="C1687" t="s">
        <v>44</v>
      </c>
      <c r="D1687" t="s">
        <v>38</v>
      </c>
      <c r="E1687" t="s">
        <v>39</v>
      </c>
      <c r="F1687">
        <v>26750.15</v>
      </c>
    </row>
    <row r="1688" spans="1:6" x14ac:dyDescent="0.3">
      <c r="A1688">
        <v>2024</v>
      </c>
      <c r="B1688">
        <v>10</v>
      </c>
      <c r="C1688" t="s">
        <v>45</v>
      </c>
      <c r="D1688" t="s">
        <v>38</v>
      </c>
      <c r="E1688" t="s">
        <v>39</v>
      </c>
      <c r="F1688">
        <v>33724.25</v>
      </c>
    </row>
    <row r="1689" spans="1:6" x14ac:dyDescent="0.3">
      <c r="A1689">
        <v>2024</v>
      </c>
      <c r="B1689">
        <v>10</v>
      </c>
      <c r="C1689" t="s">
        <v>37</v>
      </c>
      <c r="D1689" t="s">
        <v>38</v>
      </c>
      <c r="E1689" t="s">
        <v>46</v>
      </c>
      <c r="F1689">
        <v>130664.12</v>
      </c>
    </row>
    <row r="1690" spans="1:6" x14ac:dyDescent="0.3">
      <c r="A1690">
        <v>2024</v>
      </c>
      <c r="B1690">
        <v>10</v>
      </c>
      <c r="C1690" t="s">
        <v>40</v>
      </c>
      <c r="D1690" t="s">
        <v>38</v>
      </c>
      <c r="E1690" t="s">
        <v>46</v>
      </c>
      <c r="F1690">
        <v>23433.78</v>
      </c>
    </row>
    <row r="1691" spans="1:6" x14ac:dyDescent="0.3">
      <c r="A1691">
        <v>2024</v>
      </c>
      <c r="B1691">
        <v>10</v>
      </c>
      <c r="C1691" t="s">
        <v>41</v>
      </c>
      <c r="D1691" t="s">
        <v>38</v>
      </c>
      <c r="E1691" t="s">
        <v>46</v>
      </c>
      <c r="F1691">
        <v>89750.92</v>
      </c>
    </row>
    <row r="1692" spans="1:6" x14ac:dyDescent="0.3">
      <c r="A1692">
        <v>2024</v>
      </c>
      <c r="B1692">
        <v>10</v>
      </c>
      <c r="C1692" t="s">
        <v>42</v>
      </c>
      <c r="D1692" t="s">
        <v>38</v>
      </c>
      <c r="E1692" t="s">
        <v>46</v>
      </c>
      <c r="F1692">
        <v>46097.72</v>
      </c>
    </row>
    <row r="1693" spans="1:6" x14ac:dyDescent="0.3">
      <c r="A1693">
        <v>2024</v>
      </c>
      <c r="B1693">
        <v>10</v>
      </c>
      <c r="C1693" t="s">
        <v>43</v>
      </c>
      <c r="D1693" t="s">
        <v>38</v>
      </c>
      <c r="E1693" t="s">
        <v>46</v>
      </c>
      <c r="F1693">
        <v>97152.05</v>
      </c>
    </row>
    <row r="1694" spans="1:6" x14ac:dyDescent="0.3">
      <c r="A1694">
        <v>2024</v>
      </c>
      <c r="B1694">
        <v>10</v>
      </c>
      <c r="C1694" t="s">
        <v>44</v>
      </c>
      <c r="D1694" t="s">
        <v>38</v>
      </c>
      <c r="E1694" t="s">
        <v>46</v>
      </c>
      <c r="F1694">
        <v>74704.97</v>
      </c>
    </row>
    <row r="1695" spans="1:6" x14ac:dyDescent="0.3">
      <c r="A1695">
        <v>2024</v>
      </c>
      <c r="B1695">
        <v>10</v>
      </c>
      <c r="C1695" t="s">
        <v>45</v>
      </c>
      <c r="D1695" t="s">
        <v>38</v>
      </c>
      <c r="E1695" t="s">
        <v>46</v>
      </c>
      <c r="F1695">
        <v>15522.88</v>
      </c>
    </row>
    <row r="1696" spans="1:6" x14ac:dyDescent="0.3">
      <c r="A1696">
        <v>2024</v>
      </c>
      <c r="B1696">
        <v>10</v>
      </c>
      <c r="C1696" t="s">
        <v>37</v>
      </c>
      <c r="D1696" t="s">
        <v>38</v>
      </c>
      <c r="E1696" t="s">
        <v>47</v>
      </c>
      <c r="F1696">
        <v>72487.210000000006</v>
      </c>
    </row>
    <row r="1697" spans="1:6" x14ac:dyDescent="0.3">
      <c r="A1697">
        <v>2024</v>
      </c>
      <c r="B1697">
        <v>10</v>
      </c>
      <c r="C1697" t="s">
        <v>40</v>
      </c>
      <c r="D1697" t="s">
        <v>38</v>
      </c>
      <c r="E1697" t="s">
        <v>47</v>
      </c>
      <c r="F1697">
        <v>61517.41</v>
      </c>
    </row>
    <row r="1698" spans="1:6" x14ac:dyDescent="0.3">
      <c r="A1698">
        <v>2024</v>
      </c>
      <c r="B1698">
        <v>10</v>
      </c>
      <c r="C1698" t="s">
        <v>41</v>
      </c>
      <c r="D1698" t="s">
        <v>38</v>
      </c>
      <c r="E1698" t="s">
        <v>47</v>
      </c>
      <c r="F1698">
        <v>81640.31</v>
      </c>
    </row>
    <row r="1699" spans="1:6" x14ac:dyDescent="0.3">
      <c r="A1699">
        <v>2024</v>
      </c>
      <c r="B1699">
        <v>10</v>
      </c>
      <c r="C1699" t="s">
        <v>42</v>
      </c>
      <c r="D1699" t="s">
        <v>38</v>
      </c>
      <c r="E1699" t="s">
        <v>47</v>
      </c>
      <c r="F1699">
        <v>13870.34</v>
      </c>
    </row>
    <row r="1700" spans="1:6" x14ac:dyDescent="0.3">
      <c r="A1700">
        <v>2024</v>
      </c>
      <c r="B1700">
        <v>10</v>
      </c>
      <c r="C1700" t="s">
        <v>43</v>
      </c>
      <c r="D1700" t="s">
        <v>38</v>
      </c>
      <c r="E1700" t="s">
        <v>47</v>
      </c>
      <c r="F1700">
        <v>43824.43</v>
      </c>
    </row>
    <row r="1701" spans="1:6" x14ac:dyDescent="0.3">
      <c r="A1701">
        <v>2024</v>
      </c>
      <c r="B1701">
        <v>10</v>
      </c>
      <c r="C1701" t="s">
        <v>44</v>
      </c>
      <c r="D1701" t="s">
        <v>38</v>
      </c>
      <c r="E1701" t="s">
        <v>47</v>
      </c>
      <c r="F1701">
        <v>77771.289999999994</v>
      </c>
    </row>
    <row r="1702" spans="1:6" x14ac:dyDescent="0.3">
      <c r="A1702">
        <v>2024</v>
      </c>
      <c r="B1702">
        <v>10</v>
      </c>
      <c r="C1702" t="s">
        <v>45</v>
      </c>
      <c r="D1702" t="s">
        <v>38</v>
      </c>
      <c r="E1702" t="s">
        <v>47</v>
      </c>
      <c r="F1702">
        <v>116972.97</v>
      </c>
    </row>
    <row r="1703" spans="1:6" x14ac:dyDescent="0.3">
      <c r="A1703">
        <v>2024</v>
      </c>
      <c r="B1703">
        <v>10</v>
      </c>
      <c r="C1703" t="s">
        <v>37</v>
      </c>
      <c r="D1703" t="s">
        <v>48</v>
      </c>
      <c r="E1703" t="s">
        <v>49</v>
      </c>
      <c r="F1703">
        <v>93962.16</v>
      </c>
    </row>
    <row r="1704" spans="1:6" x14ac:dyDescent="0.3">
      <c r="A1704">
        <v>2024</v>
      </c>
      <c r="B1704">
        <v>10</v>
      </c>
      <c r="C1704" t="s">
        <v>40</v>
      </c>
      <c r="D1704" t="s">
        <v>48</v>
      </c>
      <c r="E1704" t="s">
        <v>49</v>
      </c>
      <c r="F1704">
        <v>17467.150000000001</v>
      </c>
    </row>
    <row r="1705" spans="1:6" x14ac:dyDescent="0.3">
      <c r="A1705">
        <v>2024</v>
      </c>
      <c r="B1705">
        <v>10</v>
      </c>
      <c r="C1705" t="s">
        <v>41</v>
      </c>
      <c r="D1705" t="s">
        <v>48</v>
      </c>
      <c r="E1705" t="s">
        <v>49</v>
      </c>
      <c r="F1705">
        <v>65016.28</v>
      </c>
    </row>
    <row r="1706" spans="1:6" x14ac:dyDescent="0.3">
      <c r="A1706">
        <v>2024</v>
      </c>
      <c r="B1706">
        <v>10</v>
      </c>
      <c r="C1706" t="s">
        <v>42</v>
      </c>
      <c r="D1706" t="s">
        <v>48</v>
      </c>
      <c r="E1706" t="s">
        <v>49</v>
      </c>
      <c r="F1706">
        <v>43466.58</v>
      </c>
    </row>
    <row r="1707" spans="1:6" x14ac:dyDescent="0.3">
      <c r="A1707">
        <v>2024</v>
      </c>
      <c r="B1707">
        <v>10</v>
      </c>
      <c r="C1707" t="s">
        <v>43</v>
      </c>
      <c r="D1707" t="s">
        <v>48</v>
      </c>
      <c r="E1707" t="s">
        <v>49</v>
      </c>
      <c r="F1707">
        <v>105945.48</v>
      </c>
    </row>
    <row r="1708" spans="1:6" x14ac:dyDescent="0.3">
      <c r="A1708">
        <v>2024</v>
      </c>
      <c r="B1708">
        <v>10</v>
      </c>
      <c r="C1708" t="s">
        <v>44</v>
      </c>
      <c r="D1708" t="s">
        <v>48</v>
      </c>
      <c r="E1708" t="s">
        <v>49</v>
      </c>
      <c r="F1708">
        <v>100064.71</v>
      </c>
    </row>
    <row r="1709" spans="1:6" x14ac:dyDescent="0.3">
      <c r="A1709">
        <v>2024</v>
      </c>
      <c r="B1709">
        <v>10</v>
      </c>
      <c r="C1709" t="s">
        <v>45</v>
      </c>
      <c r="D1709" t="s">
        <v>48</v>
      </c>
      <c r="E1709" t="s">
        <v>49</v>
      </c>
      <c r="F1709">
        <v>58789.04</v>
      </c>
    </row>
    <row r="1710" spans="1:6" x14ac:dyDescent="0.3">
      <c r="A1710">
        <v>2024</v>
      </c>
      <c r="B1710">
        <v>10</v>
      </c>
      <c r="C1710" t="s">
        <v>37</v>
      </c>
      <c r="D1710" t="s">
        <v>48</v>
      </c>
      <c r="E1710" t="s">
        <v>50</v>
      </c>
      <c r="F1710">
        <v>96608.69</v>
      </c>
    </row>
    <row r="1711" spans="1:6" x14ac:dyDescent="0.3">
      <c r="A1711">
        <v>2024</v>
      </c>
      <c r="B1711">
        <v>10</v>
      </c>
      <c r="C1711" t="s">
        <v>40</v>
      </c>
      <c r="D1711" t="s">
        <v>48</v>
      </c>
      <c r="E1711" t="s">
        <v>50</v>
      </c>
      <c r="F1711">
        <v>92331.75</v>
      </c>
    </row>
    <row r="1712" spans="1:6" x14ac:dyDescent="0.3">
      <c r="A1712">
        <v>2024</v>
      </c>
      <c r="B1712">
        <v>10</v>
      </c>
      <c r="C1712" t="s">
        <v>41</v>
      </c>
      <c r="D1712" t="s">
        <v>48</v>
      </c>
      <c r="E1712" t="s">
        <v>50</v>
      </c>
      <c r="F1712">
        <v>56732.54</v>
      </c>
    </row>
    <row r="1713" spans="1:6" x14ac:dyDescent="0.3">
      <c r="A1713">
        <v>2024</v>
      </c>
      <c r="B1713">
        <v>10</v>
      </c>
      <c r="C1713" t="s">
        <v>42</v>
      </c>
      <c r="D1713" t="s">
        <v>48</v>
      </c>
      <c r="E1713" t="s">
        <v>50</v>
      </c>
      <c r="F1713">
        <v>93388.28</v>
      </c>
    </row>
    <row r="1714" spans="1:6" x14ac:dyDescent="0.3">
      <c r="A1714">
        <v>2024</v>
      </c>
      <c r="B1714">
        <v>10</v>
      </c>
      <c r="C1714" t="s">
        <v>43</v>
      </c>
      <c r="D1714" t="s">
        <v>48</v>
      </c>
      <c r="E1714" t="s">
        <v>50</v>
      </c>
      <c r="F1714">
        <v>129807.61</v>
      </c>
    </row>
    <row r="1715" spans="1:6" x14ac:dyDescent="0.3">
      <c r="A1715">
        <v>2024</v>
      </c>
      <c r="B1715">
        <v>10</v>
      </c>
      <c r="C1715" t="s">
        <v>44</v>
      </c>
      <c r="D1715" t="s">
        <v>48</v>
      </c>
      <c r="E1715" t="s">
        <v>50</v>
      </c>
      <c r="F1715">
        <v>70990.31</v>
      </c>
    </row>
    <row r="1716" spans="1:6" x14ac:dyDescent="0.3">
      <c r="A1716">
        <v>2024</v>
      </c>
      <c r="B1716">
        <v>10</v>
      </c>
      <c r="C1716" t="s">
        <v>45</v>
      </c>
      <c r="D1716" t="s">
        <v>48</v>
      </c>
      <c r="E1716" t="s">
        <v>50</v>
      </c>
      <c r="F1716">
        <v>73928.73</v>
      </c>
    </row>
    <row r="1717" spans="1:6" x14ac:dyDescent="0.3">
      <c r="A1717">
        <v>2024</v>
      </c>
      <c r="B1717">
        <v>10</v>
      </c>
      <c r="C1717" t="s">
        <v>37</v>
      </c>
      <c r="D1717" t="s">
        <v>48</v>
      </c>
      <c r="E1717" t="s">
        <v>51</v>
      </c>
      <c r="F1717">
        <v>71485.399999999994</v>
      </c>
    </row>
    <row r="1718" spans="1:6" x14ac:dyDescent="0.3">
      <c r="A1718">
        <v>2024</v>
      </c>
      <c r="B1718">
        <v>10</v>
      </c>
      <c r="C1718" t="s">
        <v>40</v>
      </c>
      <c r="D1718" t="s">
        <v>48</v>
      </c>
      <c r="E1718" t="s">
        <v>51</v>
      </c>
      <c r="F1718">
        <v>42463.51</v>
      </c>
    </row>
    <row r="1719" spans="1:6" x14ac:dyDescent="0.3">
      <c r="A1719">
        <v>2024</v>
      </c>
      <c r="B1719">
        <v>10</v>
      </c>
      <c r="C1719" t="s">
        <v>41</v>
      </c>
      <c r="D1719" t="s">
        <v>48</v>
      </c>
      <c r="E1719" t="s">
        <v>51</v>
      </c>
      <c r="F1719">
        <v>64966</v>
      </c>
    </row>
    <row r="1720" spans="1:6" x14ac:dyDescent="0.3">
      <c r="A1720">
        <v>2024</v>
      </c>
      <c r="B1720">
        <v>10</v>
      </c>
      <c r="C1720" t="s">
        <v>42</v>
      </c>
      <c r="D1720" t="s">
        <v>48</v>
      </c>
      <c r="E1720" t="s">
        <v>51</v>
      </c>
      <c r="F1720">
        <v>95376.2</v>
      </c>
    </row>
    <row r="1721" spans="1:6" x14ac:dyDescent="0.3">
      <c r="A1721">
        <v>2024</v>
      </c>
      <c r="B1721">
        <v>10</v>
      </c>
      <c r="C1721" t="s">
        <v>43</v>
      </c>
      <c r="D1721" t="s">
        <v>48</v>
      </c>
      <c r="E1721" t="s">
        <v>51</v>
      </c>
      <c r="F1721">
        <v>21006.720000000001</v>
      </c>
    </row>
    <row r="1722" spans="1:6" x14ac:dyDescent="0.3">
      <c r="A1722">
        <v>2024</v>
      </c>
      <c r="B1722">
        <v>10</v>
      </c>
      <c r="C1722" t="s">
        <v>44</v>
      </c>
      <c r="D1722" t="s">
        <v>48</v>
      </c>
      <c r="E1722" t="s">
        <v>51</v>
      </c>
      <c r="F1722">
        <v>50971.21</v>
      </c>
    </row>
    <row r="1723" spans="1:6" x14ac:dyDescent="0.3">
      <c r="A1723">
        <v>2024</v>
      </c>
      <c r="B1723">
        <v>10</v>
      </c>
      <c r="C1723" t="s">
        <v>45</v>
      </c>
      <c r="D1723" t="s">
        <v>48</v>
      </c>
      <c r="E1723" t="s">
        <v>51</v>
      </c>
      <c r="F1723">
        <v>87525.59</v>
      </c>
    </row>
    <row r="1724" spans="1:6" x14ac:dyDescent="0.3">
      <c r="A1724">
        <v>2024</v>
      </c>
      <c r="B1724">
        <v>10</v>
      </c>
      <c r="C1724" t="s">
        <v>37</v>
      </c>
      <c r="D1724" t="s">
        <v>48</v>
      </c>
      <c r="E1724" t="s">
        <v>52</v>
      </c>
      <c r="F1724">
        <v>30882.15</v>
      </c>
    </row>
    <row r="1725" spans="1:6" x14ac:dyDescent="0.3">
      <c r="A1725">
        <v>2024</v>
      </c>
      <c r="B1725">
        <v>10</v>
      </c>
      <c r="C1725" t="s">
        <v>40</v>
      </c>
      <c r="D1725" t="s">
        <v>48</v>
      </c>
      <c r="E1725" t="s">
        <v>52</v>
      </c>
      <c r="F1725">
        <v>44045.61</v>
      </c>
    </row>
    <row r="1726" spans="1:6" x14ac:dyDescent="0.3">
      <c r="A1726">
        <v>2024</v>
      </c>
      <c r="B1726">
        <v>10</v>
      </c>
      <c r="C1726" t="s">
        <v>41</v>
      </c>
      <c r="D1726" t="s">
        <v>48</v>
      </c>
      <c r="E1726" t="s">
        <v>52</v>
      </c>
      <c r="F1726">
        <v>34422.410000000003</v>
      </c>
    </row>
    <row r="1727" spans="1:6" x14ac:dyDescent="0.3">
      <c r="A1727">
        <v>2024</v>
      </c>
      <c r="B1727">
        <v>10</v>
      </c>
      <c r="C1727" t="s">
        <v>42</v>
      </c>
      <c r="D1727" t="s">
        <v>48</v>
      </c>
      <c r="E1727" t="s">
        <v>52</v>
      </c>
      <c r="F1727">
        <v>54099.48</v>
      </c>
    </row>
    <row r="1728" spans="1:6" x14ac:dyDescent="0.3">
      <c r="A1728">
        <v>2024</v>
      </c>
      <c r="B1728">
        <v>10</v>
      </c>
      <c r="C1728" t="s">
        <v>43</v>
      </c>
      <c r="D1728" t="s">
        <v>48</v>
      </c>
      <c r="E1728" t="s">
        <v>52</v>
      </c>
      <c r="F1728">
        <v>83720.759999999995</v>
      </c>
    </row>
    <row r="1729" spans="1:6" x14ac:dyDescent="0.3">
      <c r="A1729">
        <v>2024</v>
      </c>
      <c r="B1729">
        <v>10</v>
      </c>
      <c r="C1729" t="s">
        <v>44</v>
      </c>
      <c r="D1729" t="s">
        <v>48</v>
      </c>
      <c r="E1729" t="s">
        <v>52</v>
      </c>
      <c r="F1729">
        <v>30973.23</v>
      </c>
    </row>
    <row r="1730" spans="1:6" x14ac:dyDescent="0.3">
      <c r="A1730">
        <v>2024</v>
      </c>
      <c r="B1730">
        <v>10</v>
      </c>
      <c r="C1730" t="s">
        <v>45</v>
      </c>
      <c r="D1730" t="s">
        <v>48</v>
      </c>
      <c r="E1730" t="s">
        <v>52</v>
      </c>
      <c r="F1730">
        <v>63852.42</v>
      </c>
    </row>
    <row r="1731" spans="1:6" x14ac:dyDescent="0.3">
      <c r="A1731">
        <v>2024</v>
      </c>
      <c r="B1731">
        <v>10</v>
      </c>
      <c r="C1731" t="s">
        <v>37</v>
      </c>
      <c r="D1731" t="s">
        <v>48</v>
      </c>
      <c r="E1731" t="s">
        <v>53</v>
      </c>
      <c r="F1731">
        <v>58354.63</v>
      </c>
    </row>
    <row r="1732" spans="1:6" x14ac:dyDescent="0.3">
      <c r="A1732">
        <v>2024</v>
      </c>
      <c r="B1732">
        <v>10</v>
      </c>
      <c r="C1732" t="s">
        <v>40</v>
      </c>
      <c r="D1732" t="s">
        <v>48</v>
      </c>
      <c r="E1732" t="s">
        <v>53</v>
      </c>
      <c r="F1732">
        <v>17330.89</v>
      </c>
    </row>
    <row r="1733" spans="1:6" x14ac:dyDescent="0.3">
      <c r="A1733">
        <v>2024</v>
      </c>
      <c r="B1733">
        <v>10</v>
      </c>
      <c r="C1733" t="s">
        <v>41</v>
      </c>
      <c r="D1733" t="s">
        <v>48</v>
      </c>
      <c r="E1733" t="s">
        <v>53</v>
      </c>
      <c r="F1733">
        <v>77013.55</v>
      </c>
    </row>
    <row r="1734" spans="1:6" x14ac:dyDescent="0.3">
      <c r="A1734">
        <v>2024</v>
      </c>
      <c r="B1734">
        <v>10</v>
      </c>
      <c r="C1734" t="s">
        <v>42</v>
      </c>
      <c r="D1734" t="s">
        <v>48</v>
      </c>
      <c r="E1734" t="s">
        <v>53</v>
      </c>
      <c r="F1734">
        <v>71366.820000000007</v>
      </c>
    </row>
    <row r="1735" spans="1:6" x14ac:dyDescent="0.3">
      <c r="A1735">
        <v>2024</v>
      </c>
      <c r="B1735">
        <v>10</v>
      </c>
      <c r="C1735" t="s">
        <v>43</v>
      </c>
      <c r="D1735" t="s">
        <v>48</v>
      </c>
      <c r="E1735" t="s">
        <v>53</v>
      </c>
      <c r="F1735">
        <v>36442.370000000003</v>
      </c>
    </row>
    <row r="1736" spans="1:6" x14ac:dyDescent="0.3">
      <c r="A1736">
        <v>2024</v>
      </c>
      <c r="B1736">
        <v>10</v>
      </c>
      <c r="C1736" t="s">
        <v>44</v>
      </c>
      <c r="D1736" t="s">
        <v>48</v>
      </c>
      <c r="E1736" t="s">
        <v>53</v>
      </c>
      <c r="F1736">
        <v>82929.600000000006</v>
      </c>
    </row>
    <row r="1737" spans="1:6" x14ac:dyDescent="0.3">
      <c r="A1737">
        <v>2024</v>
      </c>
      <c r="B1737">
        <v>10</v>
      </c>
      <c r="C1737" t="s">
        <v>45</v>
      </c>
      <c r="D1737" t="s">
        <v>48</v>
      </c>
      <c r="E1737" t="s">
        <v>53</v>
      </c>
      <c r="F1737">
        <v>37662.019999999997</v>
      </c>
    </row>
    <row r="1738" spans="1:6" x14ac:dyDescent="0.3">
      <c r="A1738">
        <v>2024</v>
      </c>
      <c r="B1738">
        <v>10</v>
      </c>
      <c r="C1738" t="s">
        <v>37</v>
      </c>
      <c r="D1738" t="s">
        <v>48</v>
      </c>
      <c r="E1738" t="s">
        <v>54</v>
      </c>
      <c r="F1738">
        <v>62449.27</v>
      </c>
    </row>
    <row r="1739" spans="1:6" x14ac:dyDescent="0.3">
      <c r="A1739">
        <v>2024</v>
      </c>
      <c r="B1739">
        <v>10</v>
      </c>
      <c r="C1739" t="s">
        <v>40</v>
      </c>
      <c r="D1739" t="s">
        <v>48</v>
      </c>
      <c r="E1739" t="s">
        <v>54</v>
      </c>
      <c r="F1739">
        <v>50603.93</v>
      </c>
    </row>
    <row r="1740" spans="1:6" x14ac:dyDescent="0.3">
      <c r="A1740">
        <v>2024</v>
      </c>
      <c r="B1740">
        <v>10</v>
      </c>
      <c r="C1740" t="s">
        <v>41</v>
      </c>
      <c r="D1740" t="s">
        <v>48</v>
      </c>
      <c r="E1740" t="s">
        <v>54</v>
      </c>
      <c r="F1740">
        <v>58161.05</v>
      </c>
    </row>
    <row r="1741" spans="1:6" x14ac:dyDescent="0.3">
      <c r="A1741">
        <v>2024</v>
      </c>
      <c r="B1741">
        <v>10</v>
      </c>
      <c r="C1741" t="s">
        <v>42</v>
      </c>
      <c r="D1741" t="s">
        <v>48</v>
      </c>
      <c r="E1741" t="s">
        <v>54</v>
      </c>
      <c r="F1741">
        <v>109550.65</v>
      </c>
    </row>
    <row r="1742" spans="1:6" x14ac:dyDescent="0.3">
      <c r="A1742">
        <v>2024</v>
      </c>
      <c r="B1742">
        <v>10</v>
      </c>
      <c r="C1742" t="s">
        <v>43</v>
      </c>
      <c r="D1742" t="s">
        <v>48</v>
      </c>
      <c r="E1742" t="s">
        <v>54</v>
      </c>
      <c r="F1742">
        <v>71110.62</v>
      </c>
    </row>
    <row r="1743" spans="1:6" x14ac:dyDescent="0.3">
      <c r="A1743">
        <v>2024</v>
      </c>
      <c r="B1743">
        <v>10</v>
      </c>
      <c r="C1743" t="s">
        <v>44</v>
      </c>
      <c r="D1743" t="s">
        <v>48</v>
      </c>
      <c r="E1743" t="s">
        <v>54</v>
      </c>
      <c r="F1743">
        <v>81981.070000000007</v>
      </c>
    </row>
    <row r="1744" spans="1:6" x14ac:dyDescent="0.3">
      <c r="A1744">
        <v>2024</v>
      </c>
      <c r="B1744">
        <v>10</v>
      </c>
      <c r="C1744" t="s">
        <v>45</v>
      </c>
      <c r="D1744" t="s">
        <v>48</v>
      </c>
      <c r="E1744" t="s">
        <v>54</v>
      </c>
      <c r="F1744">
        <v>79608.679999999993</v>
      </c>
    </row>
    <row r="1745" spans="1:6" x14ac:dyDescent="0.3">
      <c r="A1745">
        <v>2024</v>
      </c>
      <c r="B1745">
        <v>10</v>
      </c>
      <c r="C1745" t="s">
        <v>37</v>
      </c>
      <c r="D1745" t="s">
        <v>48</v>
      </c>
      <c r="E1745" t="s">
        <v>55</v>
      </c>
      <c r="F1745">
        <v>56544.69</v>
      </c>
    </row>
    <row r="1746" spans="1:6" x14ac:dyDescent="0.3">
      <c r="A1746">
        <v>2024</v>
      </c>
      <c r="B1746">
        <v>10</v>
      </c>
      <c r="C1746" t="s">
        <v>40</v>
      </c>
      <c r="D1746" t="s">
        <v>48</v>
      </c>
      <c r="E1746" t="s">
        <v>55</v>
      </c>
      <c r="F1746">
        <v>114790.68</v>
      </c>
    </row>
    <row r="1747" spans="1:6" x14ac:dyDescent="0.3">
      <c r="A1747">
        <v>2024</v>
      </c>
      <c r="B1747">
        <v>10</v>
      </c>
      <c r="C1747" t="s">
        <v>41</v>
      </c>
      <c r="D1747" t="s">
        <v>48</v>
      </c>
      <c r="E1747" t="s">
        <v>55</v>
      </c>
      <c r="F1747">
        <v>34492.589999999997</v>
      </c>
    </row>
    <row r="1748" spans="1:6" x14ac:dyDescent="0.3">
      <c r="A1748">
        <v>2024</v>
      </c>
      <c r="B1748">
        <v>10</v>
      </c>
      <c r="C1748" t="s">
        <v>42</v>
      </c>
      <c r="D1748" t="s">
        <v>48</v>
      </c>
      <c r="E1748" t="s">
        <v>55</v>
      </c>
      <c r="F1748">
        <v>63411.91</v>
      </c>
    </row>
    <row r="1749" spans="1:6" x14ac:dyDescent="0.3">
      <c r="A1749">
        <v>2024</v>
      </c>
      <c r="B1749">
        <v>10</v>
      </c>
      <c r="C1749" t="s">
        <v>43</v>
      </c>
      <c r="D1749" t="s">
        <v>48</v>
      </c>
      <c r="E1749" t="s">
        <v>55</v>
      </c>
      <c r="F1749">
        <v>26157.54</v>
      </c>
    </row>
    <row r="1750" spans="1:6" x14ac:dyDescent="0.3">
      <c r="A1750">
        <v>2024</v>
      </c>
      <c r="B1750">
        <v>10</v>
      </c>
      <c r="C1750" t="s">
        <v>44</v>
      </c>
      <c r="D1750" t="s">
        <v>48</v>
      </c>
      <c r="E1750" t="s">
        <v>55</v>
      </c>
      <c r="F1750">
        <v>29397.49</v>
      </c>
    </row>
    <row r="1751" spans="1:6" x14ac:dyDescent="0.3">
      <c r="A1751">
        <v>2024</v>
      </c>
      <c r="B1751">
        <v>10</v>
      </c>
      <c r="C1751" t="s">
        <v>45</v>
      </c>
      <c r="D1751" t="s">
        <v>48</v>
      </c>
      <c r="E1751" t="s">
        <v>55</v>
      </c>
      <c r="F1751">
        <v>35692.35</v>
      </c>
    </row>
    <row r="1752" spans="1:6" x14ac:dyDescent="0.3">
      <c r="A1752">
        <v>2024</v>
      </c>
      <c r="B1752">
        <v>10</v>
      </c>
      <c r="C1752" t="s">
        <v>37</v>
      </c>
      <c r="D1752" t="s">
        <v>48</v>
      </c>
      <c r="E1752" t="s">
        <v>56</v>
      </c>
      <c r="F1752">
        <v>107278.37</v>
      </c>
    </row>
    <row r="1753" spans="1:6" x14ac:dyDescent="0.3">
      <c r="A1753">
        <v>2024</v>
      </c>
      <c r="B1753">
        <v>10</v>
      </c>
      <c r="C1753" t="s">
        <v>40</v>
      </c>
      <c r="D1753" t="s">
        <v>48</v>
      </c>
      <c r="E1753" t="s">
        <v>56</v>
      </c>
      <c r="F1753">
        <v>13710.86</v>
      </c>
    </row>
    <row r="1754" spans="1:6" x14ac:dyDescent="0.3">
      <c r="A1754">
        <v>2024</v>
      </c>
      <c r="B1754">
        <v>10</v>
      </c>
      <c r="C1754" t="s">
        <v>41</v>
      </c>
      <c r="D1754" t="s">
        <v>48</v>
      </c>
      <c r="E1754" t="s">
        <v>56</v>
      </c>
      <c r="F1754">
        <v>114097.32</v>
      </c>
    </row>
    <row r="1755" spans="1:6" x14ac:dyDescent="0.3">
      <c r="A1755">
        <v>2024</v>
      </c>
      <c r="B1755">
        <v>10</v>
      </c>
      <c r="C1755" t="s">
        <v>42</v>
      </c>
      <c r="D1755" t="s">
        <v>48</v>
      </c>
      <c r="E1755" t="s">
        <v>56</v>
      </c>
      <c r="F1755">
        <v>116116.12</v>
      </c>
    </row>
    <row r="1756" spans="1:6" x14ac:dyDescent="0.3">
      <c r="A1756">
        <v>2024</v>
      </c>
      <c r="B1756">
        <v>10</v>
      </c>
      <c r="C1756" t="s">
        <v>43</v>
      </c>
      <c r="D1756" t="s">
        <v>48</v>
      </c>
      <c r="E1756" t="s">
        <v>56</v>
      </c>
      <c r="F1756">
        <v>35422.199999999997</v>
      </c>
    </row>
    <row r="1757" spans="1:6" x14ac:dyDescent="0.3">
      <c r="A1757">
        <v>2024</v>
      </c>
      <c r="B1757">
        <v>10</v>
      </c>
      <c r="C1757" t="s">
        <v>44</v>
      </c>
      <c r="D1757" t="s">
        <v>48</v>
      </c>
      <c r="E1757" t="s">
        <v>56</v>
      </c>
      <c r="F1757">
        <v>102637.35</v>
      </c>
    </row>
    <row r="1758" spans="1:6" x14ac:dyDescent="0.3">
      <c r="A1758">
        <v>2024</v>
      </c>
      <c r="B1758">
        <v>10</v>
      </c>
      <c r="C1758" t="s">
        <v>45</v>
      </c>
      <c r="D1758" t="s">
        <v>48</v>
      </c>
      <c r="E1758" t="s">
        <v>56</v>
      </c>
      <c r="F1758">
        <v>40034.01</v>
      </c>
    </row>
    <row r="1759" spans="1:6" x14ac:dyDescent="0.3">
      <c r="A1759">
        <v>2024</v>
      </c>
      <c r="B1759">
        <v>10</v>
      </c>
      <c r="C1759" t="s">
        <v>37</v>
      </c>
      <c r="D1759" t="s">
        <v>57</v>
      </c>
      <c r="E1759" t="s">
        <v>58</v>
      </c>
      <c r="F1759">
        <v>156971.22</v>
      </c>
    </row>
    <row r="1760" spans="1:6" x14ac:dyDescent="0.3">
      <c r="A1760">
        <v>2024</v>
      </c>
      <c r="B1760">
        <v>10</v>
      </c>
      <c r="C1760" t="s">
        <v>37</v>
      </c>
      <c r="D1760" t="s">
        <v>57</v>
      </c>
      <c r="E1760" t="s">
        <v>59</v>
      </c>
      <c r="F1760">
        <v>50918.400000000001</v>
      </c>
    </row>
    <row r="1761" spans="1:6" x14ac:dyDescent="0.3">
      <c r="A1761">
        <v>2024</v>
      </c>
      <c r="B1761">
        <v>10</v>
      </c>
      <c r="C1761" t="s">
        <v>37</v>
      </c>
      <c r="D1761" t="s">
        <v>57</v>
      </c>
      <c r="E1761" t="s">
        <v>60</v>
      </c>
      <c r="F1761">
        <v>52671.31</v>
      </c>
    </row>
    <row r="1762" spans="1:6" x14ac:dyDescent="0.3">
      <c r="A1762">
        <v>2024</v>
      </c>
      <c r="B1762">
        <v>11</v>
      </c>
      <c r="C1762" t="s">
        <v>37</v>
      </c>
      <c r="D1762" t="s">
        <v>38</v>
      </c>
      <c r="E1762" t="s">
        <v>39</v>
      </c>
      <c r="F1762">
        <v>58966.45</v>
      </c>
    </row>
    <row r="1763" spans="1:6" x14ac:dyDescent="0.3">
      <c r="A1763">
        <v>2024</v>
      </c>
      <c r="B1763">
        <v>11</v>
      </c>
      <c r="C1763" t="s">
        <v>40</v>
      </c>
      <c r="D1763" t="s">
        <v>38</v>
      </c>
      <c r="E1763" t="s">
        <v>39</v>
      </c>
      <c r="F1763">
        <v>94994.44</v>
      </c>
    </row>
    <row r="1764" spans="1:6" x14ac:dyDescent="0.3">
      <c r="A1764">
        <v>2024</v>
      </c>
      <c r="B1764">
        <v>11</v>
      </c>
      <c r="C1764" t="s">
        <v>41</v>
      </c>
      <c r="D1764" t="s">
        <v>38</v>
      </c>
      <c r="E1764" t="s">
        <v>39</v>
      </c>
      <c r="F1764">
        <v>68347.460000000006</v>
      </c>
    </row>
    <row r="1765" spans="1:6" x14ac:dyDescent="0.3">
      <c r="A1765">
        <v>2024</v>
      </c>
      <c r="B1765">
        <v>11</v>
      </c>
      <c r="C1765" t="s">
        <v>42</v>
      </c>
      <c r="D1765" t="s">
        <v>38</v>
      </c>
      <c r="E1765" t="s">
        <v>39</v>
      </c>
      <c r="F1765">
        <v>36716.85</v>
      </c>
    </row>
    <row r="1766" spans="1:6" x14ac:dyDescent="0.3">
      <c r="A1766">
        <v>2024</v>
      </c>
      <c r="B1766">
        <v>11</v>
      </c>
      <c r="C1766" t="s">
        <v>43</v>
      </c>
      <c r="D1766" t="s">
        <v>38</v>
      </c>
      <c r="E1766" t="s">
        <v>39</v>
      </c>
      <c r="F1766">
        <v>94544.21</v>
      </c>
    </row>
    <row r="1767" spans="1:6" x14ac:dyDescent="0.3">
      <c r="A1767">
        <v>2024</v>
      </c>
      <c r="B1767">
        <v>11</v>
      </c>
      <c r="C1767" t="s">
        <v>44</v>
      </c>
      <c r="D1767" t="s">
        <v>38</v>
      </c>
      <c r="E1767" t="s">
        <v>39</v>
      </c>
      <c r="F1767">
        <v>94194.63</v>
      </c>
    </row>
    <row r="1768" spans="1:6" x14ac:dyDescent="0.3">
      <c r="A1768">
        <v>2024</v>
      </c>
      <c r="B1768">
        <v>11</v>
      </c>
      <c r="C1768" t="s">
        <v>45</v>
      </c>
      <c r="D1768" t="s">
        <v>38</v>
      </c>
      <c r="E1768" t="s">
        <v>39</v>
      </c>
      <c r="F1768">
        <v>31048.37</v>
      </c>
    </row>
    <row r="1769" spans="1:6" x14ac:dyDescent="0.3">
      <c r="A1769">
        <v>2024</v>
      </c>
      <c r="B1769">
        <v>11</v>
      </c>
      <c r="C1769" t="s">
        <v>37</v>
      </c>
      <c r="D1769" t="s">
        <v>38</v>
      </c>
      <c r="E1769" t="s">
        <v>46</v>
      </c>
      <c r="F1769">
        <v>106268.82</v>
      </c>
    </row>
    <row r="1770" spans="1:6" x14ac:dyDescent="0.3">
      <c r="A1770">
        <v>2024</v>
      </c>
      <c r="B1770">
        <v>11</v>
      </c>
      <c r="C1770" t="s">
        <v>40</v>
      </c>
      <c r="D1770" t="s">
        <v>38</v>
      </c>
      <c r="E1770" t="s">
        <v>46</v>
      </c>
      <c r="F1770">
        <v>34353.68</v>
      </c>
    </row>
    <row r="1771" spans="1:6" x14ac:dyDescent="0.3">
      <c r="A1771">
        <v>2024</v>
      </c>
      <c r="B1771">
        <v>11</v>
      </c>
      <c r="C1771" t="s">
        <v>41</v>
      </c>
      <c r="D1771" t="s">
        <v>38</v>
      </c>
      <c r="E1771" t="s">
        <v>46</v>
      </c>
      <c r="F1771">
        <v>73534.7</v>
      </c>
    </row>
    <row r="1772" spans="1:6" x14ac:dyDescent="0.3">
      <c r="A1772">
        <v>2024</v>
      </c>
      <c r="B1772">
        <v>11</v>
      </c>
      <c r="C1772" t="s">
        <v>42</v>
      </c>
      <c r="D1772" t="s">
        <v>38</v>
      </c>
      <c r="E1772" t="s">
        <v>46</v>
      </c>
      <c r="F1772">
        <v>31604.37</v>
      </c>
    </row>
    <row r="1773" spans="1:6" x14ac:dyDescent="0.3">
      <c r="A1773">
        <v>2024</v>
      </c>
      <c r="B1773">
        <v>11</v>
      </c>
      <c r="C1773" t="s">
        <v>43</v>
      </c>
      <c r="D1773" t="s">
        <v>38</v>
      </c>
      <c r="E1773" t="s">
        <v>46</v>
      </c>
      <c r="F1773">
        <v>31662.34</v>
      </c>
    </row>
    <row r="1774" spans="1:6" x14ac:dyDescent="0.3">
      <c r="A1774">
        <v>2024</v>
      </c>
      <c r="B1774">
        <v>11</v>
      </c>
      <c r="C1774" t="s">
        <v>44</v>
      </c>
      <c r="D1774" t="s">
        <v>38</v>
      </c>
      <c r="E1774" t="s">
        <v>46</v>
      </c>
      <c r="F1774">
        <v>45734.17</v>
      </c>
    </row>
    <row r="1775" spans="1:6" x14ac:dyDescent="0.3">
      <c r="A1775">
        <v>2024</v>
      </c>
      <c r="B1775">
        <v>11</v>
      </c>
      <c r="C1775" t="s">
        <v>45</v>
      </c>
      <c r="D1775" t="s">
        <v>38</v>
      </c>
      <c r="E1775" t="s">
        <v>46</v>
      </c>
      <c r="F1775">
        <v>20613.38</v>
      </c>
    </row>
    <row r="1776" spans="1:6" x14ac:dyDescent="0.3">
      <c r="A1776">
        <v>2024</v>
      </c>
      <c r="B1776">
        <v>11</v>
      </c>
      <c r="C1776" t="s">
        <v>37</v>
      </c>
      <c r="D1776" t="s">
        <v>38</v>
      </c>
      <c r="E1776" t="s">
        <v>47</v>
      </c>
      <c r="F1776">
        <v>34961.89</v>
      </c>
    </row>
    <row r="1777" spans="1:6" x14ac:dyDescent="0.3">
      <c r="A1777">
        <v>2024</v>
      </c>
      <c r="B1777">
        <v>11</v>
      </c>
      <c r="C1777" t="s">
        <v>40</v>
      </c>
      <c r="D1777" t="s">
        <v>38</v>
      </c>
      <c r="E1777" t="s">
        <v>47</v>
      </c>
      <c r="F1777">
        <v>104104.47</v>
      </c>
    </row>
    <row r="1778" spans="1:6" x14ac:dyDescent="0.3">
      <c r="A1778">
        <v>2024</v>
      </c>
      <c r="B1778">
        <v>11</v>
      </c>
      <c r="C1778" t="s">
        <v>41</v>
      </c>
      <c r="D1778" t="s">
        <v>38</v>
      </c>
      <c r="E1778" t="s">
        <v>47</v>
      </c>
      <c r="F1778">
        <v>56437.25</v>
      </c>
    </row>
    <row r="1779" spans="1:6" x14ac:dyDescent="0.3">
      <c r="A1779">
        <v>2024</v>
      </c>
      <c r="B1779">
        <v>11</v>
      </c>
      <c r="C1779" t="s">
        <v>42</v>
      </c>
      <c r="D1779" t="s">
        <v>38</v>
      </c>
      <c r="E1779" t="s">
        <v>47</v>
      </c>
      <c r="F1779">
        <v>70764.62</v>
      </c>
    </row>
    <row r="1780" spans="1:6" x14ac:dyDescent="0.3">
      <c r="A1780">
        <v>2024</v>
      </c>
      <c r="B1780">
        <v>11</v>
      </c>
      <c r="C1780" t="s">
        <v>43</v>
      </c>
      <c r="D1780" t="s">
        <v>38</v>
      </c>
      <c r="E1780" t="s">
        <v>47</v>
      </c>
      <c r="F1780">
        <v>48078.86</v>
      </c>
    </row>
    <row r="1781" spans="1:6" x14ac:dyDescent="0.3">
      <c r="A1781">
        <v>2024</v>
      </c>
      <c r="B1781">
        <v>11</v>
      </c>
      <c r="C1781" t="s">
        <v>44</v>
      </c>
      <c r="D1781" t="s">
        <v>38</v>
      </c>
      <c r="E1781" t="s">
        <v>47</v>
      </c>
      <c r="F1781">
        <v>36801.19</v>
      </c>
    </row>
    <row r="1782" spans="1:6" x14ac:dyDescent="0.3">
      <c r="A1782">
        <v>2024</v>
      </c>
      <c r="B1782">
        <v>11</v>
      </c>
      <c r="C1782" t="s">
        <v>45</v>
      </c>
      <c r="D1782" t="s">
        <v>38</v>
      </c>
      <c r="E1782" t="s">
        <v>47</v>
      </c>
      <c r="F1782">
        <v>91867.7</v>
      </c>
    </row>
    <row r="1783" spans="1:6" x14ac:dyDescent="0.3">
      <c r="A1783">
        <v>2024</v>
      </c>
      <c r="B1783">
        <v>11</v>
      </c>
      <c r="C1783" t="s">
        <v>37</v>
      </c>
      <c r="D1783" t="s">
        <v>48</v>
      </c>
      <c r="E1783" t="s">
        <v>49</v>
      </c>
      <c r="F1783">
        <v>37809.839999999997</v>
      </c>
    </row>
    <row r="1784" spans="1:6" x14ac:dyDescent="0.3">
      <c r="A1784">
        <v>2024</v>
      </c>
      <c r="B1784">
        <v>11</v>
      </c>
      <c r="C1784" t="s">
        <v>40</v>
      </c>
      <c r="D1784" t="s">
        <v>48</v>
      </c>
      <c r="E1784" t="s">
        <v>49</v>
      </c>
      <c r="F1784">
        <v>21876.02</v>
      </c>
    </row>
    <row r="1785" spans="1:6" x14ac:dyDescent="0.3">
      <c r="A1785">
        <v>2024</v>
      </c>
      <c r="B1785">
        <v>11</v>
      </c>
      <c r="C1785" t="s">
        <v>41</v>
      </c>
      <c r="D1785" t="s">
        <v>48</v>
      </c>
      <c r="E1785" t="s">
        <v>49</v>
      </c>
      <c r="F1785">
        <v>62469.81</v>
      </c>
    </row>
    <row r="1786" spans="1:6" x14ac:dyDescent="0.3">
      <c r="A1786">
        <v>2024</v>
      </c>
      <c r="B1786">
        <v>11</v>
      </c>
      <c r="C1786" t="s">
        <v>42</v>
      </c>
      <c r="D1786" t="s">
        <v>48</v>
      </c>
      <c r="E1786" t="s">
        <v>49</v>
      </c>
      <c r="F1786">
        <v>71159.839999999997</v>
      </c>
    </row>
    <row r="1787" spans="1:6" x14ac:dyDescent="0.3">
      <c r="A1787">
        <v>2024</v>
      </c>
      <c r="B1787">
        <v>11</v>
      </c>
      <c r="C1787" t="s">
        <v>43</v>
      </c>
      <c r="D1787" t="s">
        <v>48</v>
      </c>
      <c r="E1787" t="s">
        <v>49</v>
      </c>
      <c r="F1787">
        <v>142124.91</v>
      </c>
    </row>
    <row r="1788" spans="1:6" x14ac:dyDescent="0.3">
      <c r="A1788">
        <v>2024</v>
      </c>
      <c r="B1788">
        <v>11</v>
      </c>
      <c r="C1788" t="s">
        <v>44</v>
      </c>
      <c r="D1788" t="s">
        <v>48</v>
      </c>
      <c r="E1788" t="s">
        <v>49</v>
      </c>
      <c r="F1788">
        <v>112002.78</v>
      </c>
    </row>
    <row r="1789" spans="1:6" x14ac:dyDescent="0.3">
      <c r="A1789">
        <v>2024</v>
      </c>
      <c r="B1789">
        <v>11</v>
      </c>
      <c r="C1789" t="s">
        <v>45</v>
      </c>
      <c r="D1789" t="s">
        <v>48</v>
      </c>
      <c r="E1789" t="s">
        <v>49</v>
      </c>
      <c r="F1789">
        <v>15539.04</v>
      </c>
    </row>
    <row r="1790" spans="1:6" x14ac:dyDescent="0.3">
      <c r="A1790">
        <v>2024</v>
      </c>
      <c r="B1790">
        <v>11</v>
      </c>
      <c r="C1790" t="s">
        <v>37</v>
      </c>
      <c r="D1790" t="s">
        <v>48</v>
      </c>
      <c r="E1790" t="s">
        <v>50</v>
      </c>
      <c r="F1790">
        <v>10076.01</v>
      </c>
    </row>
    <row r="1791" spans="1:6" x14ac:dyDescent="0.3">
      <c r="A1791">
        <v>2024</v>
      </c>
      <c r="B1791">
        <v>11</v>
      </c>
      <c r="C1791" t="s">
        <v>40</v>
      </c>
      <c r="D1791" t="s">
        <v>48</v>
      </c>
      <c r="E1791" t="s">
        <v>50</v>
      </c>
      <c r="F1791">
        <v>32666.400000000001</v>
      </c>
    </row>
    <row r="1792" spans="1:6" x14ac:dyDescent="0.3">
      <c r="A1792">
        <v>2024</v>
      </c>
      <c r="B1792">
        <v>11</v>
      </c>
      <c r="C1792" t="s">
        <v>41</v>
      </c>
      <c r="D1792" t="s">
        <v>48</v>
      </c>
      <c r="E1792" t="s">
        <v>50</v>
      </c>
      <c r="F1792">
        <v>19850.23</v>
      </c>
    </row>
    <row r="1793" spans="1:6" x14ac:dyDescent="0.3">
      <c r="A1793">
        <v>2024</v>
      </c>
      <c r="B1793">
        <v>11</v>
      </c>
      <c r="C1793" t="s">
        <v>42</v>
      </c>
      <c r="D1793" t="s">
        <v>48</v>
      </c>
      <c r="E1793" t="s">
        <v>50</v>
      </c>
      <c r="F1793">
        <v>42687.68</v>
      </c>
    </row>
    <row r="1794" spans="1:6" x14ac:dyDescent="0.3">
      <c r="A1794">
        <v>2024</v>
      </c>
      <c r="B1794">
        <v>11</v>
      </c>
      <c r="C1794" t="s">
        <v>43</v>
      </c>
      <c r="D1794" t="s">
        <v>48</v>
      </c>
      <c r="E1794" t="s">
        <v>50</v>
      </c>
      <c r="F1794">
        <v>77526.22</v>
      </c>
    </row>
    <row r="1795" spans="1:6" x14ac:dyDescent="0.3">
      <c r="A1795">
        <v>2024</v>
      </c>
      <c r="B1795">
        <v>11</v>
      </c>
      <c r="C1795" t="s">
        <v>44</v>
      </c>
      <c r="D1795" t="s">
        <v>48</v>
      </c>
      <c r="E1795" t="s">
        <v>50</v>
      </c>
      <c r="F1795">
        <v>83176.14</v>
      </c>
    </row>
    <row r="1796" spans="1:6" x14ac:dyDescent="0.3">
      <c r="A1796">
        <v>2024</v>
      </c>
      <c r="B1796">
        <v>11</v>
      </c>
      <c r="C1796" t="s">
        <v>45</v>
      </c>
      <c r="D1796" t="s">
        <v>48</v>
      </c>
      <c r="E1796" t="s">
        <v>50</v>
      </c>
      <c r="F1796">
        <v>13394.38</v>
      </c>
    </row>
    <row r="1797" spans="1:6" x14ac:dyDescent="0.3">
      <c r="A1797">
        <v>2024</v>
      </c>
      <c r="B1797">
        <v>11</v>
      </c>
      <c r="C1797" t="s">
        <v>37</v>
      </c>
      <c r="D1797" t="s">
        <v>48</v>
      </c>
      <c r="E1797" t="s">
        <v>51</v>
      </c>
      <c r="F1797">
        <v>48999.67</v>
      </c>
    </row>
    <row r="1798" spans="1:6" x14ac:dyDescent="0.3">
      <c r="A1798">
        <v>2024</v>
      </c>
      <c r="B1798">
        <v>11</v>
      </c>
      <c r="C1798" t="s">
        <v>40</v>
      </c>
      <c r="D1798" t="s">
        <v>48</v>
      </c>
      <c r="E1798" t="s">
        <v>51</v>
      </c>
      <c r="F1798">
        <v>58003.96</v>
      </c>
    </row>
    <row r="1799" spans="1:6" x14ac:dyDescent="0.3">
      <c r="A1799">
        <v>2024</v>
      </c>
      <c r="B1799">
        <v>11</v>
      </c>
      <c r="C1799" t="s">
        <v>41</v>
      </c>
      <c r="D1799" t="s">
        <v>48</v>
      </c>
      <c r="E1799" t="s">
        <v>51</v>
      </c>
      <c r="F1799">
        <v>73687.59</v>
      </c>
    </row>
    <row r="1800" spans="1:6" x14ac:dyDescent="0.3">
      <c r="A1800">
        <v>2024</v>
      </c>
      <c r="B1800">
        <v>11</v>
      </c>
      <c r="C1800" t="s">
        <v>42</v>
      </c>
      <c r="D1800" t="s">
        <v>48</v>
      </c>
      <c r="E1800" t="s">
        <v>51</v>
      </c>
      <c r="F1800">
        <v>81353.460000000006</v>
      </c>
    </row>
    <row r="1801" spans="1:6" x14ac:dyDescent="0.3">
      <c r="A1801">
        <v>2024</v>
      </c>
      <c r="B1801">
        <v>11</v>
      </c>
      <c r="C1801" t="s">
        <v>43</v>
      </c>
      <c r="D1801" t="s">
        <v>48</v>
      </c>
      <c r="E1801" t="s">
        <v>51</v>
      </c>
      <c r="F1801">
        <v>94517.78</v>
      </c>
    </row>
    <row r="1802" spans="1:6" x14ac:dyDescent="0.3">
      <c r="A1802">
        <v>2024</v>
      </c>
      <c r="B1802">
        <v>11</v>
      </c>
      <c r="C1802" t="s">
        <v>44</v>
      </c>
      <c r="D1802" t="s">
        <v>48</v>
      </c>
      <c r="E1802" t="s">
        <v>51</v>
      </c>
      <c r="F1802">
        <v>64301.63</v>
      </c>
    </row>
    <row r="1803" spans="1:6" x14ac:dyDescent="0.3">
      <c r="A1803">
        <v>2024</v>
      </c>
      <c r="B1803">
        <v>11</v>
      </c>
      <c r="C1803" t="s">
        <v>45</v>
      </c>
      <c r="D1803" t="s">
        <v>48</v>
      </c>
      <c r="E1803" t="s">
        <v>51</v>
      </c>
      <c r="F1803">
        <v>32907.589999999997</v>
      </c>
    </row>
    <row r="1804" spans="1:6" x14ac:dyDescent="0.3">
      <c r="A1804">
        <v>2024</v>
      </c>
      <c r="B1804">
        <v>11</v>
      </c>
      <c r="C1804" t="s">
        <v>37</v>
      </c>
      <c r="D1804" t="s">
        <v>48</v>
      </c>
      <c r="E1804" t="s">
        <v>52</v>
      </c>
      <c r="F1804">
        <v>46359.66</v>
      </c>
    </row>
    <row r="1805" spans="1:6" x14ac:dyDescent="0.3">
      <c r="A1805">
        <v>2024</v>
      </c>
      <c r="B1805">
        <v>11</v>
      </c>
      <c r="C1805" t="s">
        <v>40</v>
      </c>
      <c r="D1805" t="s">
        <v>48</v>
      </c>
      <c r="E1805" t="s">
        <v>52</v>
      </c>
      <c r="F1805">
        <v>76688.41</v>
      </c>
    </row>
    <row r="1806" spans="1:6" x14ac:dyDescent="0.3">
      <c r="A1806">
        <v>2024</v>
      </c>
      <c r="B1806">
        <v>11</v>
      </c>
      <c r="C1806" t="s">
        <v>41</v>
      </c>
      <c r="D1806" t="s">
        <v>48</v>
      </c>
      <c r="E1806" t="s">
        <v>52</v>
      </c>
      <c r="F1806">
        <v>43963.22</v>
      </c>
    </row>
    <row r="1807" spans="1:6" x14ac:dyDescent="0.3">
      <c r="A1807">
        <v>2024</v>
      </c>
      <c r="B1807">
        <v>11</v>
      </c>
      <c r="C1807" t="s">
        <v>42</v>
      </c>
      <c r="D1807" t="s">
        <v>48</v>
      </c>
      <c r="E1807" t="s">
        <v>52</v>
      </c>
      <c r="F1807">
        <v>62021.16</v>
      </c>
    </row>
    <row r="1808" spans="1:6" x14ac:dyDescent="0.3">
      <c r="A1808">
        <v>2024</v>
      </c>
      <c r="B1808">
        <v>11</v>
      </c>
      <c r="C1808" t="s">
        <v>43</v>
      </c>
      <c r="D1808" t="s">
        <v>48</v>
      </c>
      <c r="E1808" t="s">
        <v>52</v>
      </c>
      <c r="F1808">
        <v>20698.689999999999</v>
      </c>
    </row>
    <row r="1809" spans="1:6" x14ac:dyDescent="0.3">
      <c r="A1809">
        <v>2024</v>
      </c>
      <c r="B1809">
        <v>11</v>
      </c>
      <c r="C1809" t="s">
        <v>44</v>
      </c>
      <c r="D1809" t="s">
        <v>48</v>
      </c>
      <c r="E1809" t="s">
        <v>52</v>
      </c>
      <c r="F1809">
        <v>15031.79</v>
      </c>
    </row>
    <row r="1810" spans="1:6" x14ac:dyDescent="0.3">
      <c r="A1810">
        <v>2024</v>
      </c>
      <c r="B1810">
        <v>11</v>
      </c>
      <c r="C1810" t="s">
        <v>45</v>
      </c>
      <c r="D1810" t="s">
        <v>48</v>
      </c>
      <c r="E1810" t="s">
        <v>52</v>
      </c>
      <c r="F1810">
        <v>102859.22</v>
      </c>
    </row>
    <row r="1811" spans="1:6" x14ac:dyDescent="0.3">
      <c r="A1811">
        <v>2024</v>
      </c>
      <c r="B1811">
        <v>11</v>
      </c>
      <c r="C1811" t="s">
        <v>37</v>
      </c>
      <c r="D1811" t="s">
        <v>48</v>
      </c>
      <c r="E1811" t="s">
        <v>53</v>
      </c>
      <c r="F1811">
        <v>33675.42</v>
      </c>
    </row>
    <row r="1812" spans="1:6" x14ac:dyDescent="0.3">
      <c r="A1812">
        <v>2024</v>
      </c>
      <c r="B1812">
        <v>11</v>
      </c>
      <c r="C1812" t="s">
        <v>40</v>
      </c>
      <c r="D1812" t="s">
        <v>48</v>
      </c>
      <c r="E1812" t="s">
        <v>53</v>
      </c>
      <c r="F1812">
        <v>62812.98</v>
      </c>
    </row>
    <row r="1813" spans="1:6" x14ac:dyDescent="0.3">
      <c r="A1813">
        <v>2024</v>
      </c>
      <c r="B1813">
        <v>11</v>
      </c>
      <c r="C1813" t="s">
        <v>41</v>
      </c>
      <c r="D1813" t="s">
        <v>48</v>
      </c>
      <c r="E1813" t="s">
        <v>53</v>
      </c>
      <c r="F1813">
        <v>47801.23</v>
      </c>
    </row>
    <row r="1814" spans="1:6" x14ac:dyDescent="0.3">
      <c r="A1814">
        <v>2024</v>
      </c>
      <c r="B1814">
        <v>11</v>
      </c>
      <c r="C1814" t="s">
        <v>42</v>
      </c>
      <c r="D1814" t="s">
        <v>48</v>
      </c>
      <c r="E1814" t="s">
        <v>53</v>
      </c>
      <c r="F1814">
        <v>65054.94</v>
      </c>
    </row>
    <row r="1815" spans="1:6" x14ac:dyDescent="0.3">
      <c r="A1815">
        <v>2024</v>
      </c>
      <c r="B1815">
        <v>11</v>
      </c>
      <c r="C1815" t="s">
        <v>43</v>
      </c>
      <c r="D1815" t="s">
        <v>48</v>
      </c>
      <c r="E1815" t="s">
        <v>53</v>
      </c>
      <c r="F1815">
        <v>94300.160000000003</v>
      </c>
    </row>
    <row r="1816" spans="1:6" x14ac:dyDescent="0.3">
      <c r="A1816">
        <v>2024</v>
      </c>
      <c r="B1816">
        <v>11</v>
      </c>
      <c r="C1816" t="s">
        <v>44</v>
      </c>
      <c r="D1816" t="s">
        <v>48</v>
      </c>
      <c r="E1816" t="s">
        <v>53</v>
      </c>
      <c r="F1816">
        <v>26788.1</v>
      </c>
    </row>
    <row r="1817" spans="1:6" x14ac:dyDescent="0.3">
      <c r="A1817">
        <v>2024</v>
      </c>
      <c r="B1817">
        <v>11</v>
      </c>
      <c r="C1817" t="s">
        <v>45</v>
      </c>
      <c r="D1817" t="s">
        <v>48</v>
      </c>
      <c r="E1817" t="s">
        <v>53</v>
      </c>
      <c r="F1817">
        <v>84462.34</v>
      </c>
    </row>
    <row r="1818" spans="1:6" x14ac:dyDescent="0.3">
      <c r="A1818">
        <v>2024</v>
      </c>
      <c r="B1818">
        <v>11</v>
      </c>
      <c r="C1818" t="s">
        <v>37</v>
      </c>
      <c r="D1818" t="s">
        <v>48</v>
      </c>
      <c r="E1818" t="s">
        <v>54</v>
      </c>
      <c r="F1818">
        <v>32407.61</v>
      </c>
    </row>
    <row r="1819" spans="1:6" x14ac:dyDescent="0.3">
      <c r="A1819">
        <v>2024</v>
      </c>
      <c r="B1819">
        <v>11</v>
      </c>
      <c r="C1819" t="s">
        <v>40</v>
      </c>
      <c r="D1819" t="s">
        <v>48</v>
      </c>
      <c r="E1819" t="s">
        <v>54</v>
      </c>
      <c r="F1819">
        <v>12510.52</v>
      </c>
    </row>
    <row r="1820" spans="1:6" x14ac:dyDescent="0.3">
      <c r="A1820">
        <v>2024</v>
      </c>
      <c r="B1820">
        <v>11</v>
      </c>
      <c r="C1820" t="s">
        <v>41</v>
      </c>
      <c r="D1820" t="s">
        <v>48</v>
      </c>
      <c r="E1820" t="s">
        <v>54</v>
      </c>
      <c r="F1820">
        <v>78434.080000000002</v>
      </c>
    </row>
    <row r="1821" spans="1:6" x14ac:dyDescent="0.3">
      <c r="A1821">
        <v>2024</v>
      </c>
      <c r="B1821">
        <v>11</v>
      </c>
      <c r="C1821" t="s">
        <v>42</v>
      </c>
      <c r="D1821" t="s">
        <v>48</v>
      </c>
      <c r="E1821" t="s">
        <v>54</v>
      </c>
      <c r="F1821">
        <v>49803.79</v>
      </c>
    </row>
    <row r="1822" spans="1:6" x14ac:dyDescent="0.3">
      <c r="A1822">
        <v>2024</v>
      </c>
      <c r="B1822">
        <v>11</v>
      </c>
      <c r="C1822" t="s">
        <v>43</v>
      </c>
      <c r="D1822" t="s">
        <v>48</v>
      </c>
      <c r="E1822" t="s">
        <v>54</v>
      </c>
      <c r="F1822">
        <v>47805.98</v>
      </c>
    </row>
    <row r="1823" spans="1:6" x14ac:dyDescent="0.3">
      <c r="A1823">
        <v>2024</v>
      </c>
      <c r="B1823">
        <v>11</v>
      </c>
      <c r="C1823" t="s">
        <v>44</v>
      </c>
      <c r="D1823" t="s">
        <v>48</v>
      </c>
      <c r="E1823" t="s">
        <v>54</v>
      </c>
      <c r="F1823">
        <v>39041.14</v>
      </c>
    </row>
    <row r="1824" spans="1:6" x14ac:dyDescent="0.3">
      <c r="A1824">
        <v>2024</v>
      </c>
      <c r="B1824">
        <v>11</v>
      </c>
      <c r="C1824" t="s">
        <v>45</v>
      </c>
      <c r="D1824" t="s">
        <v>48</v>
      </c>
      <c r="E1824" t="s">
        <v>54</v>
      </c>
      <c r="F1824">
        <v>67060.490000000005</v>
      </c>
    </row>
    <row r="1825" spans="1:6" x14ac:dyDescent="0.3">
      <c r="A1825">
        <v>2024</v>
      </c>
      <c r="B1825">
        <v>11</v>
      </c>
      <c r="C1825" t="s">
        <v>37</v>
      </c>
      <c r="D1825" t="s">
        <v>48</v>
      </c>
      <c r="E1825" t="s">
        <v>55</v>
      </c>
      <c r="F1825">
        <v>32831.269999999997</v>
      </c>
    </row>
    <row r="1826" spans="1:6" x14ac:dyDescent="0.3">
      <c r="A1826">
        <v>2024</v>
      </c>
      <c r="B1826">
        <v>11</v>
      </c>
      <c r="C1826" t="s">
        <v>40</v>
      </c>
      <c r="D1826" t="s">
        <v>48</v>
      </c>
      <c r="E1826" t="s">
        <v>55</v>
      </c>
      <c r="F1826">
        <v>27663.919999999998</v>
      </c>
    </row>
    <row r="1827" spans="1:6" x14ac:dyDescent="0.3">
      <c r="A1827">
        <v>2024</v>
      </c>
      <c r="B1827">
        <v>11</v>
      </c>
      <c r="C1827" t="s">
        <v>41</v>
      </c>
      <c r="D1827" t="s">
        <v>48</v>
      </c>
      <c r="E1827" t="s">
        <v>55</v>
      </c>
      <c r="F1827">
        <v>30695.47</v>
      </c>
    </row>
    <row r="1828" spans="1:6" x14ac:dyDescent="0.3">
      <c r="A1828">
        <v>2024</v>
      </c>
      <c r="B1828">
        <v>11</v>
      </c>
      <c r="C1828" t="s">
        <v>42</v>
      </c>
      <c r="D1828" t="s">
        <v>48</v>
      </c>
      <c r="E1828" t="s">
        <v>55</v>
      </c>
      <c r="F1828">
        <v>73843.47</v>
      </c>
    </row>
    <row r="1829" spans="1:6" x14ac:dyDescent="0.3">
      <c r="A1829">
        <v>2024</v>
      </c>
      <c r="B1829">
        <v>11</v>
      </c>
      <c r="C1829" t="s">
        <v>43</v>
      </c>
      <c r="D1829" t="s">
        <v>48</v>
      </c>
      <c r="E1829" t="s">
        <v>55</v>
      </c>
      <c r="F1829">
        <v>40576.69</v>
      </c>
    </row>
    <row r="1830" spans="1:6" x14ac:dyDescent="0.3">
      <c r="A1830">
        <v>2024</v>
      </c>
      <c r="B1830">
        <v>11</v>
      </c>
      <c r="C1830" t="s">
        <v>44</v>
      </c>
      <c r="D1830" t="s">
        <v>48</v>
      </c>
      <c r="E1830" t="s">
        <v>55</v>
      </c>
      <c r="F1830">
        <v>63801.84</v>
      </c>
    </row>
    <row r="1831" spans="1:6" x14ac:dyDescent="0.3">
      <c r="A1831">
        <v>2024</v>
      </c>
      <c r="B1831">
        <v>11</v>
      </c>
      <c r="C1831" t="s">
        <v>45</v>
      </c>
      <c r="D1831" t="s">
        <v>48</v>
      </c>
      <c r="E1831" t="s">
        <v>55</v>
      </c>
      <c r="F1831">
        <v>62561.64</v>
      </c>
    </row>
    <row r="1832" spans="1:6" x14ac:dyDescent="0.3">
      <c r="A1832">
        <v>2024</v>
      </c>
      <c r="B1832">
        <v>11</v>
      </c>
      <c r="C1832" t="s">
        <v>37</v>
      </c>
      <c r="D1832" t="s">
        <v>48</v>
      </c>
      <c r="E1832" t="s">
        <v>56</v>
      </c>
      <c r="F1832">
        <v>19688.310000000001</v>
      </c>
    </row>
    <row r="1833" spans="1:6" x14ac:dyDescent="0.3">
      <c r="A1833">
        <v>2024</v>
      </c>
      <c r="B1833">
        <v>11</v>
      </c>
      <c r="C1833" t="s">
        <v>40</v>
      </c>
      <c r="D1833" t="s">
        <v>48</v>
      </c>
      <c r="E1833" t="s">
        <v>56</v>
      </c>
      <c r="F1833">
        <v>37041.25</v>
      </c>
    </row>
    <row r="1834" spans="1:6" x14ac:dyDescent="0.3">
      <c r="A1834">
        <v>2024</v>
      </c>
      <c r="B1834">
        <v>11</v>
      </c>
      <c r="C1834" t="s">
        <v>41</v>
      </c>
      <c r="D1834" t="s">
        <v>48</v>
      </c>
      <c r="E1834" t="s">
        <v>56</v>
      </c>
      <c r="F1834">
        <v>27582.86</v>
      </c>
    </row>
    <row r="1835" spans="1:6" x14ac:dyDescent="0.3">
      <c r="A1835">
        <v>2024</v>
      </c>
      <c r="B1835">
        <v>11</v>
      </c>
      <c r="C1835" t="s">
        <v>42</v>
      </c>
      <c r="D1835" t="s">
        <v>48</v>
      </c>
      <c r="E1835" t="s">
        <v>56</v>
      </c>
      <c r="F1835">
        <v>29142.55</v>
      </c>
    </row>
    <row r="1836" spans="1:6" x14ac:dyDescent="0.3">
      <c r="A1836">
        <v>2024</v>
      </c>
      <c r="B1836">
        <v>11</v>
      </c>
      <c r="C1836" t="s">
        <v>43</v>
      </c>
      <c r="D1836" t="s">
        <v>48</v>
      </c>
      <c r="E1836" t="s">
        <v>56</v>
      </c>
      <c r="F1836">
        <v>18347.419999999998</v>
      </c>
    </row>
    <row r="1837" spans="1:6" x14ac:dyDescent="0.3">
      <c r="A1837">
        <v>2024</v>
      </c>
      <c r="B1837">
        <v>11</v>
      </c>
      <c r="C1837" t="s">
        <v>44</v>
      </c>
      <c r="D1837" t="s">
        <v>48</v>
      </c>
      <c r="E1837" t="s">
        <v>56</v>
      </c>
      <c r="F1837">
        <v>74382.59</v>
      </c>
    </row>
    <row r="1838" spans="1:6" x14ac:dyDescent="0.3">
      <c r="A1838">
        <v>2024</v>
      </c>
      <c r="B1838">
        <v>11</v>
      </c>
      <c r="C1838" t="s">
        <v>45</v>
      </c>
      <c r="D1838" t="s">
        <v>48</v>
      </c>
      <c r="E1838" t="s">
        <v>56</v>
      </c>
      <c r="F1838">
        <v>31481.02</v>
      </c>
    </row>
    <row r="1839" spans="1:6" x14ac:dyDescent="0.3">
      <c r="A1839">
        <v>2024</v>
      </c>
      <c r="B1839">
        <v>11</v>
      </c>
      <c r="C1839" t="s">
        <v>37</v>
      </c>
      <c r="D1839" t="s">
        <v>57</v>
      </c>
      <c r="E1839" t="s">
        <v>58</v>
      </c>
      <c r="F1839">
        <v>32524.35</v>
      </c>
    </row>
    <row r="1840" spans="1:6" x14ac:dyDescent="0.3">
      <c r="A1840">
        <v>2024</v>
      </c>
      <c r="B1840">
        <v>11</v>
      </c>
      <c r="C1840" t="s">
        <v>37</v>
      </c>
      <c r="D1840" t="s">
        <v>57</v>
      </c>
      <c r="E1840" t="s">
        <v>59</v>
      </c>
      <c r="F1840">
        <v>30725.31</v>
      </c>
    </row>
    <row r="1841" spans="1:6" x14ac:dyDescent="0.3">
      <c r="A1841">
        <v>2024</v>
      </c>
      <c r="B1841">
        <v>11</v>
      </c>
      <c r="C1841" t="s">
        <v>37</v>
      </c>
      <c r="D1841" t="s">
        <v>57</v>
      </c>
      <c r="E1841" t="s">
        <v>60</v>
      </c>
      <c r="F1841">
        <v>82282.5</v>
      </c>
    </row>
    <row r="1842" spans="1:6" x14ac:dyDescent="0.3">
      <c r="A1842">
        <v>2024</v>
      </c>
      <c r="B1842">
        <v>12</v>
      </c>
      <c r="C1842" t="s">
        <v>37</v>
      </c>
      <c r="D1842" t="s">
        <v>38</v>
      </c>
      <c r="E1842" t="s">
        <v>39</v>
      </c>
      <c r="F1842">
        <v>141793.89000000001</v>
      </c>
    </row>
    <row r="1843" spans="1:6" x14ac:dyDescent="0.3">
      <c r="A1843">
        <v>2024</v>
      </c>
      <c r="B1843">
        <v>12</v>
      </c>
      <c r="C1843" t="s">
        <v>40</v>
      </c>
      <c r="D1843" t="s">
        <v>38</v>
      </c>
      <c r="E1843" t="s">
        <v>39</v>
      </c>
      <c r="F1843">
        <v>13934.93</v>
      </c>
    </row>
    <row r="1844" spans="1:6" x14ac:dyDescent="0.3">
      <c r="A1844">
        <v>2024</v>
      </c>
      <c r="B1844">
        <v>12</v>
      </c>
      <c r="C1844" t="s">
        <v>41</v>
      </c>
      <c r="D1844" t="s">
        <v>38</v>
      </c>
      <c r="E1844" t="s">
        <v>39</v>
      </c>
      <c r="F1844">
        <v>46139.02</v>
      </c>
    </row>
    <row r="1845" spans="1:6" x14ac:dyDescent="0.3">
      <c r="A1845">
        <v>2024</v>
      </c>
      <c r="B1845">
        <v>12</v>
      </c>
      <c r="C1845" t="s">
        <v>42</v>
      </c>
      <c r="D1845" t="s">
        <v>38</v>
      </c>
      <c r="E1845" t="s">
        <v>39</v>
      </c>
      <c r="F1845">
        <v>31394.68</v>
      </c>
    </row>
    <row r="1846" spans="1:6" x14ac:dyDescent="0.3">
      <c r="A1846">
        <v>2024</v>
      </c>
      <c r="B1846">
        <v>12</v>
      </c>
      <c r="C1846" t="s">
        <v>43</v>
      </c>
      <c r="D1846" t="s">
        <v>38</v>
      </c>
      <c r="E1846" t="s">
        <v>39</v>
      </c>
      <c r="F1846">
        <v>44262.28</v>
      </c>
    </row>
    <row r="1847" spans="1:6" x14ac:dyDescent="0.3">
      <c r="A1847">
        <v>2024</v>
      </c>
      <c r="B1847">
        <v>12</v>
      </c>
      <c r="C1847" t="s">
        <v>44</v>
      </c>
      <c r="D1847" t="s">
        <v>38</v>
      </c>
      <c r="E1847" t="s">
        <v>39</v>
      </c>
      <c r="F1847">
        <v>126707.72</v>
      </c>
    </row>
    <row r="1848" spans="1:6" x14ac:dyDescent="0.3">
      <c r="A1848">
        <v>2024</v>
      </c>
      <c r="B1848">
        <v>12</v>
      </c>
      <c r="C1848" t="s">
        <v>45</v>
      </c>
      <c r="D1848" t="s">
        <v>38</v>
      </c>
      <c r="E1848" t="s">
        <v>39</v>
      </c>
      <c r="F1848">
        <v>115215.45</v>
      </c>
    </row>
    <row r="1849" spans="1:6" x14ac:dyDescent="0.3">
      <c r="A1849">
        <v>2024</v>
      </c>
      <c r="B1849">
        <v>12</v>
      </c>
      <c r="C1849" t="s">
        <v>37</v>
      </c>
      <c r="D1849" t="s">
        <v>38</v>
      </c>
      <c r="E1849" t="s">
        <v>46</v>
      </c>
      <c r="F1849">
        <v>125944.27</v>
      </c>
    </row>
    <row r="1850" spans="1:6" x14ac:dyDescent="0.3">
      <c r="A1850">
        <v>2024</v>
      </c>
      <c r="B1850">
        <v>12</v>
      </c>
      <c r="C1850" t="s">
        <v>40</v>
      </c>
      <c r="D1850" t="s">
        <v>38</v>
      </c>
      <c r="E1850" t="s">
        <v>46</v>
      </c>
      <c r="F1850">
        <v>22749.33</v>
      </c>
    </row>
    <row r="1851" spans="1:6" x14ac:dyDescent="0.3">
      <c r="A1851">
        <v>2024</v>
      </c>
      <c r="B1851">
        <v>12</v>
      </c>
      <c r="C1851" t="s">
        <v>41</v>
      </c>
      <c r="D1851" t="s">
        <v>38</v>
      </c>
      <c r="E1851" t="s">
        <v>46</v>
      </c>
      <c r="F1851">
        <v>69829.67</v>
      </c>
    </row>
    <row r="1852" spans="1:6" x14ac:dyDescent="0.3">
      <c r="A1852">
        <v>2024</v>
      </c>
      <c r="B1852">
        <v>12</v>
      </c>
      <c r="C1852" t="s">
        <v>42</v>
      </c>
      <c r="D1852" t="s">
        <v>38</v>
      </c>
      <c r="E1852" t="s">
        <v>46</v>
      </c>
      <c r="F1852">
        <v>71100.7</v>
      </c>
    </row>
    <row r="1853" spans="1:6" x14ac:dyDescent="0.3">
      <c r="A1853">
        <v>2024</v>
      </c>
      <c r="B1853">
        <v>12</v>
      </c>
      <c r="C1853" t="s">
        <v>43</v>
      </c>
      <c r="D1853" t="s">
        <v>38</v>
      </c>
      <c r="E1853" t="s">
        <v>46</v>
      </c>
      <c r="F1853">
        <v>89570.84</v>
      </c>
    </row>
    <row r="1854" spans="1:6" x14ac:dyDescent="0.3">
      <c r="A1854">
        <v>2024</v>
      </c>
      <c r="B1854">
        <v>12</v>
      </c>
      <c r="C1854" t="s">
        <v>44</v>
      </c>
      <c r="D1854" t="s">
        <v>38</v>
      </c>
      <c r="E1854" t="s">
        <v>46</v>
      </c>
      <c r="F1854">
        <v>35124.480000000003</v>
      </c>
    </row>
    <row r="1855" spans="1:6" x14ac:dyDescent="0.3">
      <c r="A1855">
        <v>2024</v>
      </c>
      <c r="B1855">
        <v>12</v>
      </c>
      <c r="C1855" t="s">
        <v>45</v>
      </c>
      <c r="D1855" t="s">
        <v>38</v>
      </c>
      <c r="E1855" t="s">
        <v>46</v>
      </c>
      <c r="F1855">
        <v>59239.49</v>
      </c>
    </row>
    <row r="1856" spans="1:6" x14ac:dyDescent="0.3">
      <c r="A1856">
        <v>2024</v>
      </c>
      <c r="B1856">
        <v>12</v>
      </c>
      <c r="C1856" t="s">
        <v>37</v>
      </c>
      <c r="D1856" t="s">
        <v>38</v>
      </c>
      <c r="E1856" t="s">
        <v>47</v>
      </c>
      <c r="F1856">
        <v>77292.639999999999</v>
      </c>
    </row>
    <row r="1857" spans="1:6" x14ac:dyDescent="0.3">
      <c r="A1857">
        <v>2024</v>
      </c>
      <c r="B1857">
        <v>12</v>
      </c>
      <c r="C1857" t="s">
        <v>40</v>
      </c>
      <c r="D1857" t="s">
        <v>38</v>
      </c>
      <c r="E1857" t="s">
        <v>47</v>
      </c>
      <c r="F1857">
        <v>31556.81</v>
      </c>
    </row>
    <row r="1858" spans="1:6" x14ac:dyDescent="0.3">
      <c r="A1858">
        <v>2024</v>
      </c>
      <c r="B1858">
        <v>12</v>
      </c>
      <c r="C1858" t="s">
        <v>41</v>
      </c>
      <c r="D1858" t="s">
        <v>38</v>
      </c>
      <c r="E1858" t="s">
        <v>47</v>
      </c>
      <c r="F1858">
        <v>76386.17</v>
      </c>
    </row>
    <row r="1859" spans="1:6" x14ac:dyDescent="0.3">
      <c r="A1859">
        <v>2024</v>
      </c>
      <c r="B1859">
        <v>12</v>
      </c>
      <c r="C1859" t="s">
        <v>42</v>
      </c>
      <c r="D1859" t="s">
        <v>38</v>
      </c>
      <c r="E1859" t="s">
        <v>47</v>
      </c>
      <c r="F1859">
        <v>20255.439999999999</v>
      </c>
    </row>
    <row r="1860" spans="1:6" x14ac:dyDescent="0.3">
      <c r="A1860">
        <v>2024</v>
      </c>
      <c r="B1860">
        <v>12</v>
      </c>
      <c r="C1860" t="s">
        <v>43</v>
      </c>
      <c r="D1860" t="s">
        <v>38</v>
      </c>
      <c r="E1860" t="s">
        <v>47</v>
      </c>
      <c r="F1860">
        <v>69746.09</v>
      </c>
    </row>
    <row r="1861" spans="1:6" x14ac:dyDescent="0.3">
      <c r="A1861">
        <v>2024</v>
      </c>
      <c r="B1861">
        <v>12</v>
      </c>
      <c r="C1861" t="s">
        <v>44</v>
      </c>
      <c r="D1861" t="s">
        <v>38</v>
      </c>
      <c r="E1861" t="s">
        <v>47</v>
      </c>
      <c r="F1861">
        <v>43362.75</v>
      </c>
    </row>
    <row r="1862" spans="1:6" x14ac:dyDescent="0.3">
      <c r="A1862">
        <v>2024</v>
      </c>
      <c r="B1862">
        <v>12</v>
      </c>
      <c r="C1862" t="s">
        <v>45</v>
      </c>
      <c r="D1862" t="s">
        <v>38</v>
      </c>
      <c r="E1862" t="s">
        <v>47</v>
      </c>
      <c r="F1862">
        <v>97097.67</v>
      </c>
    </row>
    <row r="1863" spans="1:6" x14ac:dyDescent="0.3">
      <c r="A1863">
        <v>2024</v>
      </c>
      <c r="B1863">
        <v>12</v>
      </c>
      <c r="C1863" t="s">
        <v>37</v>
      </c>
      <c r="D1863" t="s">
        <v>48</v>
      </c>
      <c r="E1863" t="s">
        <v>49</v>
      </c>
      <c r="F1863">
        <v>119316.89</v>
      </c>
    </row>
    <row r="1864" spans="1:6" x14ac:dyDescent="0.3">
      <c r="A1864">
        <v>2024</v>
      </c>
      <c r="B1864">
        <v>12</v>
      </c>
      <c r="C1864" t="s">
        <v>40</v>
      </c>
      <c r="D1864" t="s">
        <v>48</v>
      </c>
      <c r="E1864" t="s">
        <v>49</v>
      </c>
      <c r="F1864">
        <v>102252.03</v>
      </c>
    </row>
    <row r="1865" spans="1:6" x14ac:dyDescent="0.3">
      <c r="A1865">
        <v>2024</v>
      </c>
      <c r="B1865">
        <v>12</v>
      </c>
      <c r="C1865" t="s">
        <v>41</v>
      </c>
      <c r="D1865" t="s">
        <v>48</v>
      </c>
      <c r="E1865" t="s">
        <v>49</v>
      </c>
      <c r="F1865">
        <v>69229.88</v>
      </c>
    </row>
    <row r="1866" spans="1:6" x14ac:dyDescent="0.3">
      <c r="A1866">
        <v>2024</v>
      </c>
      <c r="B1866">
        <v>12</v>
      </c>
      <c r="C1866" t="s">
        <v>42</v>
      </c>
      <c r="D1866" t="s">
        <v>48</v>
      </c>
      <c r="E1866" t="s">
        <v>49</v>
      </c>
      <c r="F1866">
        <v>45832.53</v>
      </c>
    </row>
    <row r="1867" spans="1:6" x14ac:dyDescent="0.3">
      <c r="A1867">
        <v>2024</v>
      </c>
      <c r="B1867">
        <v>12</v>
      </c>
      <c r="C1867" t="s">
        <v>43</v>
      </c>
      <c r="D1867" t="s">
        <v>48</v>
      </c>
      <c r="E1867" t="s">
        <v>49</v>
      </c>
      <c r="F1867">
        <v>99363.17</v>
      </c>
    </row>
    <row r="1868" spans="1:6" x14ac:dyDescent="0.3">
      <c r="A1868">
        <v>2024</v>
      </c>
      <c r="B1868">
        <v>12</v>
      </c>
      <c r="C1868" t="s">
        <v>44</v>
      </c>
      <c r="D1868" t="s">
        <v>48</v>
      </c>
      <c r="E1868" t="s">
        <v>49</v>
      </c>
      <c r="F1868">
        <v>54451</v>
      </c>
    </row>
    <row r="1869" spans="1:6" x14ac:dyDescent="0.3">
      <c r="A1869">
        <v>2024</v>
      </c>
      <c r="B1869">
        <v>12</v>
      </c>
      <c r="C1869" t="s">
        <v>45</v>
      </c>
      <c r="D1869" t="s">
        <v>48</v>
      </c>
      <c r="E1869" t="s">
        <v>49</v>
      </c>
      <c r="F1869">
        <v>27799.18</v>
      </c>
    </row>
    <row r="1870" spans="1:6" x14ac:dyDescent="0.3">
      <c r="A1870">
        <v>2024</v>
      </c>
      <c r="B1870">
        <v>12</v>
      </c>
      <c r="C1870" t="s">
        <v>37</v>
      </c>
      <c r="D1870" t="s">
        <v>48</v>
      </c>
      <c r="E1870" t="s">
        <v>50</v>
      </c>
      <c r="F1870">
        <v>85141.94</v>
      </c>
    </row>
    <row r="1871" spans="1:6" x14ac:dyDescent="0.3">
      <c r="A1871">
        <v>2024</v>
      </c>
      <c r="B1871">
        <v>12</v>
      </c>
      <c r="C1871" t="s">
        <v>40</v>
      </c>
      <c r="D1871" t="s">
        <v>48</v>
      </c>
      <c r="E1871" t="s">
        <v>50</v>
      </c>
      <c r="F1871">
        <v>72544.539999999994</v>
      </c>
    </row>
    <row r="1872" spans="1:6" x14ac:dyDescent="0.3">
      <c r="A1872">
        <v>2024</v>
      </c>
      <c r="B1872">
        <v>12</v>
      </c>
      <c r="C1872" t="s">
        <v>41</v>
      </c>
      <c r="D1872" t="s">
        <v>48</v>
      </c>
      <c r="E1872" t="s">
        <v>50</v>
      </c>
      <c r="F1872">
        <v>67477.990000000005</v>
      </c>
    </row>
    <row r="1873" spans="1:6" x14ac:dyDescent="0.3">
      <c r="A1873">
        <v>2024</v>
      </c>
      <c r="B1873">
        <v>12</v>
      </c>
      <c r="C1873" t="s">
        <v>42</v>
      </c>
      <c r="D1873" t="s">
        <v>48</v>
      </c>
      <c r="E1873" t="s">
        <v>50</v>
      </c>
      <c r="F1873">
        <v>108986.98</v>
      </c>
    </row>
    <row r="1874" spans="1:6" x14ac:dyDescent="0.3">
      <c r="A1874">
        <v>2024</v>
      </c>
      <c r="B1874">
        <v>12</v>
      </c>
      <c r="C1874" t="s">
        <v>43</v>
      </c>
      <c r="D1874" t="s">
        <v>48</v>
      </c>
      <c r="E1874" t="s">
        <v>50</v>
      </c>
      <c r="F1874">
        <v>81981.289999999994</v>
      </c>
    </row>
    <row r="1875" spans="1:6" x14ac:dyDescent="0.3">
      <c r="A1875">
        <v>2024</v>
      </c>
      <c r="B1875">
        <v>12</v>
      </c>
      <c r="C1875" t="s">
        <v>44</v>
      </c>
      <c r="D1875" t="s">
        <v>48</v>
      </c>
      <c r="E1875" t="s">
        <v>50</v>
      </c>
      <c r="F1875">
        <v>36764.67</v>
      </c>
    </row>
    <row r="1876" spans="1:6" x14ac:dyDescent="0.3">
      <c r="A1876">
        <v>2024</v>
      </c>
      <c r="B1876">
        <v>12</v>
      </c>
      <c r="C1876" t="s">
        <v>45</v>
      </c>
      <c r="D1876" t="s">
        <v>48</v>
      </c>
      <c r="E1876" t="s">
        <v>50</v>
      </c>
      <c r="F1876">
        <v>27289.9</v>
      </c>
    </row>
    <row r="1877" spans="1:6" x14ac:dyDescent="0.3">
      <c r="A1877">
        <v>2024</v>
      </c>
      <c r="B1877">
        <v>12</v>
      </c>
      <c r="C1877" t="s">
        <v>37</v>
      </c>
      <c r="D1877" t="s">
        <v>48</v>
      </c>
      <c r="E1877" t="s">
        <v>51</v>
      </c>
      <c r="F1877">
        <v>60683.19</v>
      </c>
    </row>
    <row r="1878" spans="1:6" x14ac:dyDescent="0.3">
      <c r="A1878">
        <v>2024</v>
      </c>
      <c r="B1878">
        <v>12</v>
      </c>
      <c r="C1878" t="s">
        <v>40</v>
      </c>
      <c r="D1878" t="s">
        <v>48</v>
      </c>
      <c r="E1878" t="s">
        <v>51</v>
      </c>
      <c r="F1878">
        <v>124717.51</v>
      </c>
    </row>
    <row r="1879" spans="1:6" x14ac:dyDescent="0.3">
      <c r="A1879">
        <v>2024</v>
      </c>
      <c r="B1879">
        <v>12</v>
      </c>
      <c r="C1879" t="s">
        <v>41</v>
      </c>
      <c r="D1879" t="s">
        <v>48</v>
      </c>
      <c r="E1879" t="s">
        <v>51</v>
      </c>
      <c r="F1879">
        <v>68685.710000000006</v>
      </c>
    </row>
    <row r="1880" spans="1:6" x14ac:dyDescent="0.3">
      <c r="A1880">
        <v>2024</v>
      </c>
      <c r="B1880">
        <v>12</v>
      </c>
      <c r="C1880" t="s">
        <v>42</v>
      </c>
      <c r="D1880" t="s">
        <v>48</v>
      </c>
      <c r="E1880" t="s">
        <v>51</v>
      </c>
      <c r="F1880">
        <v>112184.27</v>
      </c>
    </row>
    <row r="1881" spans="1:6" x14ac:dyDescent="0.3">
      <c r="A1881">
        <v>2024</v>
      </c>
      <c r="B1881">
        <v>12</v>
      </c>
      <c r="C1881" t="s">
        <v>43</v>
      </c>
      <c r="D1881" t="s">
        <v>48</v>
      </c>
      <c r="E1881" t="s">
        <v>51</v>
      </c>
      <c r="F1881">
        <v>58039.42</v>
      </c>
    </row>
    <row r="1882" spans="1:6" x14ac:dyDescent="0.3">
      <c r="A1882">
        <v>2024</v>
      </c>
      <c r="B1882">
        <v>12</v>
      </c>
      <c r="C1882" t="s">
        <v>44</v>
      </c>
      <c r="D1882" t="s">
        <v>48</v>
      </c>
      <c r="E1882" t="s">
        <v>51</v>
      </c>
      <c r="F1882">
        <v>108147.56</v>
      </c>
    </row>
    <row r="1883" spans="1:6" x14ac:dyDescent="0.3">
      <c r="A1883">
        <v>2024</v>
      </c>
      <c r="B1883">
        <v>12</v>
      </c>
      <c r="C1883" t="s">
        <v>45</v>
      </c>
      <c r="D1883" t="s">
        <v>48</v>
      </c>
      <c r="E1883" t="s">
        <v>51</v>
      </c>
      <c r="F1883">
        <v>42203.61</v>
      </c>
    </row>
    <row r="1884" spans="1:6" x14ac:dyDescent="0.3">
      <c r="A1884">
        <v>2024</v>
      </c>
      <c r="B1884">
        <v>12</v>
      </c>
      <c r="C1884" t="s">
        <v>37</v>
      </c>
      <c r="D1884" t="s">
        <v>48</v>
      </c>
      <c r="E1884" t="s">
        <v>52</v>
      </c>
      <c r="F1884">
        <v>51920.59</v>
      </c>
    </row>
    <row r="1885" spans="1:6" x14ac:dyDescent="0.3">
      <c r="A1885">
        <v>2024</v>
      </c>
      <c r="B1885">
        <v>12</v>
      </c>
      <c r="C1885" t="s">
        <v>40</v>
      </c>
      <c r="D1885" t="s">
        <v>48</v>
      </c>
      <c r="E1885" t="s">
        <v>52</v>
      </c>
      <c r="F1885">
        <v>64560.11</v>
      </c>
    </row>
    <row r="1886" spans="1:6" x14ac:dyDescent="0.3">
      <c r="A1886">
        <v>2024</v>
      </c>
      <c r="B1886">
        <v>12</v>
      </c>
      <c r="C1886" t="s">
        <v>41</v>
      </c>
      <c r="D1886" t="s">
        <v>48</v>
      </c>
      <c r="E1886" t="s">
        <v>52</v>
      </c>
      <c r="F1886">
        <v>80805.53</v>
      </c>
    </row>
    <row r="1887" spans="1:6" x14ac:dyDescent="0.3">
      <c r="A1887">
        <v>2024</v>
      </c>
      <c r="B1887">
        <v>12</v>
      </c>
      <c r="C1887" t="s">
        <v>42</v>
      </c>
      <c r="D1887" t="s">
        <v>48</v>
      </c>
      <c r="E1887" t="s">
        <v>52</v>
      </c>
      <c r="F1887">
        <v>102422.92</v>
      </c>
    </row>
    <row r="1888" spans="1:6" x14ac:dyDescent="0.3">
      <c r="A1888">
        <v>2024</v>
      </c>
      <c r="B1888">
        <v>12</v>
      </c>
      <c r="C1888" t="s">
        <v>43</v>
      </c>
      <c r="D1888" t="s">
        <v>48</v>
      </c>
      <c r="E1888" t="s">
        <v>52</v>
      </c>
      <c r="F1888">
        <v>35077.480000000003</v>
      </c>
    </row>
    <row r="1889" spans="1:6" x14ac:dyDescent="0.3">
      <c r="A1889">
        <v>2024</v>
      </c>
      <c r="B1889">
        <v>12</v>
      </c>
      <c r="C1889" t="s">
        <v>44</v>
      </c>
      <c r="D1889" t="s">
        <v>48</v>
      </c>
      <c r="E1889" t="s">
        <v>52</v>
      </c>
      <c r="F1889">
        <v>61880.959999999999</v>
      </c>
    </row>
    <row r="1890" spans="1:6" x14ac:dyDescent="0.3">
      <c r="A1890">
        <v>2024</v>
      </c>
      <c r="B1890">
        <v>12</v>
      </c>
      <c r="C1890" t="s">
        <v>45</v>
      </c>
      <c r="D1890" t="s">
        <v>48</v>
      </c>
      <c r="E1890" t="s">
        <v>52</v>
      </c>
      <c r="F1890">
        <v>19457.78</v>
      </c>
    </row>
    <row r="1891" spans="1:6" x14ac:dyDescent="0.3">
      <c r="A1891">
        <v>2024</v>
      </c>
      <c r="B1891">
        <v>12</v>
      </c>
      <c r="C1891" t="s">
        <v>37</v>
      </c>
      <c r="D1891" t="s">
        <v>48</v>
      </c>
      <c r="E1891" t="s">
        <v>53</v>
      </c>
      <c r="F1891">
        <v>19669.29</v>
      </c>
    </row>
    <row r="1892" spans="1:6" x14ac:dyDescent="0.3">
      <c r="A1892">
        <v>2024</v>
      </c>
      <c r="B1892">
        <v>12</v>
      </c>
      <c r="C1892" t="s">
        <v>40</v>
      </c>
      <c r="D1892" t="s">
        <v>48</v>
      </c>
      <c r="E1892" t="s">
        <v>53</v>
      </c>
      <c r="F1892">
        <v>24418.39</v>
      </c>
    </row>
    <row r="1893" spans="1:6" x14ac:dyDescent="0.3">
      <c r="A1893">
        <v>2024</v>
      </c>
      <c r="B1893">
        <v>12</v>
      </c>
      <c r="C1893" t="s">
        <v>41</v>
      </c>
      <c r="D1893" t="s">
        <v>48</v>
      </c>
      <c r="E1893" t="s">
        <v>53</v>
      </c>
      <c r="F1893">
        <v>121363.07</v>
      </c>
    </row>
    <row r="1894" spans="1:6" x14ac:dyDescent="0.3">
      <c r="A1894">
        <v>2024</v>
      </c>
      <c r="B1894">
        <v>12</v>
      </c>
      <c r="C1894" t="s">
        <v>42</v>
      </c>
      <c r="D1894" t="s">
        <v>48</v>
      </c>
      <c r="E1894" t="s">
        <v>53</v>
      </c>
      <c r="F1894">
        <v>9715.9500000000007</v>
      </c>
    </row>
    <row r="1895" spans="1:6" x14ac:dyDescent="0.3">
      <c r="A1895">
        <v>2024</v>
      </c>
      <c r="B1895">
        <v>12</v>
      </c>
      <c r="C1895" t="s">
        <v>43</v>
      </c>
      <c r="D1895" t="s">
        <v>48</v>
      </c>
      <c r="E1895" t="s">
        <v>53</v>
      </c>
      <c r="F1895">
        <v>74928.13</v>
      </c>
    </row>
    <row r="1896" spans="1:6" x14ac:dyDescent="0.3">
      <c r="A1896">
        <v>2024</v>
      </c>
      <c r="B1896">
        <v>12</v>
      </c>
      <c r="C1896" t="s">
        <v>44</v>
      </c>
      <c r="D1896" t="s">
        <v>48</v>
      </c>
      <c r="E1896" t="s">
        <v>53</v>
      </c>
      <c r="F1896">
        <v>31738.06</v>
      </c>
    </row>
    <row r="1897" spans="1:6" x14ac:dyDescent="0.3">
      <c r="A1897">
        <v>2024</v>
      </c>
      <c r="B1897">
        <v>12</v>
      </c>
      <c r="C1897" t="s">
        <v>45</v>
      </c>
      <c r="D1897" t="s">
        <v>48</v>
      </c>
      <c r="E1897" t="s">
        <v>53</v>
      </c>
      <c r="F1897">
        <v>22539.06</v>
      </c>
    </row>
    <row r="1898" spans="1:6" x14ac:dyDescent="0.3">
      <c r="A1898">
        <v>2024</v>
      </c>
      <c r="B1898">
        <v>12</v>
      </c>
      <c r="C1898" t="s">
        <v>37</v>
      </c>
      <c r="D1898" t="s">
        <v>48</v>
      </c>
      <c r="E1898" t="s">
        <v>54</v>
      </c>
      <c r="F1898">
        <v>43598.59</v>
      </c>
    </row>
    <row r="1899" spans="1:6" x14ac:dyDescent="0.3">
      <c r="A1899">
        <v>2024</v>
      </c>
      <c r="B1899">
        <v>12</v>
      </c>
      <c r="C1899" t="s">
        <v>40</v>
      </c>
      <c r="D1899" t="s">
        <v>48</v>
      </c>
      <c r="E1899" t="s">
        <v>54</v>
      </c>
      <c r="F1899">
        <v>58047.01</v>
      </c>
    </row>
    <row r="1900" spans="1:6" x14ac:dyDescent="0.3">
      <c r="A1900">
        <v>2024</v>
      </c>
      <c r="B1900">
        <v>12</v>
      </c>
      <c r="C1900" t="s">
        <v>41</v>
      </c>
      <c r="D1900" t="s">
        <v>48</v>
      </c>
      <c r="E1900" t="s">
        <v>54</v>
      </c>
      <c r="F1900">
        <v>33601.51</v>
      </c>
    </row>
    <row r="1901" spans="1:6" x14ac:dyDescent="0.3">
      <c r="A1901">
        <v>2024</v>
      </c>
      <c r="B1901">
        <v>12</v>
      </c>
      <c r="C1901" t="s">
        <v>42</v>
      </c>
      <c r="D1901" t="s">
        <v>48</v>
      </c>
      <c r="E1901" t="s">
        <v>54</v>
      </c>
      <c r="F1901">
        <v>111817.27</v>
      </c>
    </row>
    <row r="1902" spans="1:6" x14ac:dyDescent="0.3">
      <c r="A1902">
        <v>2024</v>
      </c>
      <c r="B1902">
        <v>12</v>
      </c>
      <c r="C1902" t="s">
        <v>43</v>
      </c>
      <c r="D1902" t="s">
        <v>48</v>
      </c>
      <c r="E1902" t="s">
        <v>54</v>
      </c>
      <c r="F1902">
        <v>18382.490000000002</v>
      </c>
    </row>
    <row r="1903" spans="1:6" x14ac:dyDescent="0.3">
      <c r="A1903">
        <v>2024</v>
      </c>
      <c r="B1903">
        <v>12</v>
      </c>
      <c r="C1903" t="s">
        <v>44</v>
      </c>
      <c r="D1903" t="s">
        <v>48</v>
      </c>
      <c r="E1903" t="s">
        <v>54</v>
      </c>
      <c r="F1903">
        <v>108671.33</v>
      </c>
    </row>
    <row r="1904" spans="1:6" x14ac:dyDescent="0.3">
      <c r="A1904">
        <v>2024</v>
      </c>
      <c r="B1904">
        <v>12</v>
      </c>
      <c r="C1904" t="s">
        <v>45</v>
      </c>
      <c r="D1904" t="s">
        <v>48</v>
      </c>
      <c r="E1904" t="s">
        <v>54</v>
      </c>
      <c r="F1904">
        <v>104738.8</v>
      </c>
    </row>
    <row r="1905" spans="1:6" x14ac:dyDescent="0.3">
      <c r="A1905">
        <v>2024</v>
      </c>
      <c r="B1905">
        <v>12</v>
      </c>
      <c r="C1905" t="s">
        <v>37</v>
      </c>
      <c r="D1905" t="s">
        <v>48</v>
      </c>
      <c r="E1905" t="s">
        <v>55</v>
      </c>
      <c r="F1905">
        <v>14146.96</v>
      </c>
    </row>
    <row r="1906" spans="1:6" x14ac:dyDescent="0.3">
      <c r="A1906">
        <v>2024</v>
      </c>
      <c r="B1906">
        <v>12</v>
      </c>
      <c r="C1906" t="s">
        <v>40</v>
      </c>
      <c r="D1906" t="s">
        <v>48</v>
      </c>
      <c r="E1906" t="s">
        <v>55</v>
      </c>
      <c r="F1906">
        <v>21653.87</v>
      </c>
    </row>
    <row r="1907" spans="1:6" x14ac:dyDescent="0.3">
      <c r="A1907">
        <v>2024</v>
      </c>
      <c r="B1907">
        <v>12</v>
      </c>
      <c r="C1907" t="s">
        <v>41</v>
      </c>
      <c r="D1907" t="s">
        <v>48</v>
      </c>
      <c r="E1907" t="s">
        <v>55</v>
      </c>
      <c r="F1907">
        <v>88421.54</v>
      </c>
    </row>
    <row r="1908" spans="1:6" x14ac:dyDescent="0.3">
      <c r="A1908">
        <v>2024</v>
      </c>
      <c r="B1908">
        <v>12</v>
      </c>
      <c r="C1908" t="s">
        <v>42</v>
      </c>
      <c r="D1908" t="s">
        <v>48</v>
      </c>
      <c r="E1908" t="s">
        <v>55</v>
      </c>
      <c r="F1908">
        <v>110327.12</v>
      </c>
    </row>
    <row r="1909" spans="1:6" x14ac:dyDescent="0.3">
      <c r="A1909">
        <v>2024</v>
      </c>
      <c r="B1909">
        <v>12</v>
      </c>
      <c r="C1909" t="s">
        <v>43</v>
      </c>
      <c r="D1909" t="s">
        <v>48</v>
      </c>
      <c r="E1909" t="s">
        <v>55</v>
      </c>
      <c r="F1909">
        <v>60944.32</v>
      </c>
    </row>
    <row r="1910" spans="1:6" x14ac:dyDescent="0.3">
      <c r="A1910">
        <v>2024</v>
      </c>
      <c r="B1910">
        <v>12</v>
      </c>
      <c r="C1910" t="s">
        <v>44</v>
      </c>
      <c r="D1910" t="s">
        <v>48</v>
      </c>
      <c r="E1910" t="s">
        <v>55</v>
      </c>
      <c r="F1910">
        <v>113114.14</v>
      </c>
    </row>
    <row r="1911" spans="1:6" x14ac:dyDescent="0.3">
      <c r="A1911">
        <v>2024</v>
      </c>
      <c r="B1911">
        <v>12</v>
      </c>
      <c r="C1911" t="s">
        <v>45</v>
      </c>
      <c r="D1911" t="s">
        <v>48</v>
      </c>
      <c r="E1911" t="s">
        <v>55</v>
      </c>
      <c r="F1911">
        <v>81807.05</v>
      </c>
    </row>
    <row r="1912" spans="1:6" x14ac:dyDescent="0.3">
      <c r="A1912">
        <v>2024</v>
      </c>
      <c r="B1912">
        <v>12</v>
      </c>
      <c r="C1912" t="s">
        <v>37</v>
      </c>
      <c r="D1912" t="s">
        <v>48</v>
      </c>
      <c r="E1912" t="s">
        <v>56</v>
      </c>
      <c r="F1912">
        <v>83112.56</v>
      </c>
    </row>
    <row r="1913" spans="1:6" x14ac:dyDescent="0.3">
      <c r="A1913">
        <v>2024</v>
      </c>
      <c r="B1913">
        <v>12</v>
      </c>
      <c r="C1913" t="s">
        <v>40</v>
      </c>
      <c r="D1913" t="s">
        <v>48</v>
      </c>
      <c r="E1913" t="s">
        <v>56</v>
      </c>
      <c r="F1913">
        <v>103206.43</v>
      </c>
    </row>
    <row r="1914" spans="1:6" x14ac:dyDescent="0.3">
      <c r="A1914">
        <v>2024</v>
      </c>
      <c r="B1914">
        <v>12</v>
      </c>
      <c r="C1914" t="s">
        <v>41</v>
      </c>
      <c r="D1914" t="s">
        <v>48</v>
      </c>
      <c r="E1914" t="s">
        <v>56</v>
      </c>
      <c r="F1914">
        <v>52659.25</v>
      </c>
    </row>
    <row r="1915" spans="1:6" x14ac:dyDescent="0.3">
      <c r="A1915">
        <v>2024</v>
      </c>
      <c r="B1915">
        <v>12</v>
      </c>
      <c r="C1915" t="s">
        <v>42</v>
      </c>
      <c r="D1915" t="s">
        <v>48</v>
      </c>
      <c r="E1915" t="s">
        <v>56</v>
      </c>
      <c r="F1915">
        <v>96337.7</v>
      </c>
    </row>
    <row r="1916" spans="1:6" x14ac:dyDescent="0.3">
      <c r="A1916">
        <v>2024</v>
      </c>
      <c r="B1916">
        <v>12</v>
      </c>
      <c r="C1916" t="s">
        <v>43</v>
      </c>
      <c r="D1916" t="s">
        <v>48</v>
      </c>
      <c r="E1916" t="s">
        <v>56</v>
      </c>
      <c r="F1916">
        <v>14493.58</v>
      </c>
    </row>
    <row r="1917" spans="1:6" x14ac:dyDescent="0.3">
      <c r="A1917">
        <v>2024</v>
      </c>
      <c r="B1917">
        <v>12</v>
      </c>
      <c r="C1917" t="s">
        <v>44</v>
      </c>
      <c r="D1917" t="s">
        <v>48</v>
      </c>
      <c r="E1917" t="s">
        <v>56</v>
      </c>
      <c r="F1917">
        <v>57275.71</v>
      </c>
    </row>
    <row r="1918" spans="1:6" x14ac:dyDescent="0.3">
      <c r="A1918">
        <v>2024</v>
      </c>
      <c r="B1918">
        <v>12</v>
      </c>
      <c r="C1918" t="s">
        <v>45</v>
      </c>
      <c r="D1918" t="s">
        <v>48</v>
      </c>
      <c r="E1918" t="s">
        <v>56</v>
      </c>
      <c r="F1918">
        <v>40061.21</v>
      </c>
    </row>
    <row r="1919" spans="1:6" x14ac:dyDescent="0.3">
      <c r="A1919">
        <v>2024</v>
      </c>
      <c r="B1919">
        <v>12</v>
      </c>
      <c r="C1919" t="s">
        <v>37</v>
      </c>
      <c r="D1919" t="s">
        <v>57</v>
      </c>
      <c r="E1919" t="s">
        <v>58</v>
      </c>
      <c r="F1919">
        <v>193607.69</v>
      </c>
    </row>
    <row r="1920" spans="1:6" x14ac:dyDescent="0.3">
      <c r="A1920">
        <v>2024</v>
      </c>
      <c r="B1920">
        <v>12</v>
      </c>
      <c r="C1920" t="s">
        <v>37</v>
      </c>
      <c r="D1920" t="s">
        <v>57</v>
      </c>
      <c r="E1920" t="s">
        <v>59</v>
      </c>
      <c r="F1920">
        <v>58506.44</v>
      </c>
    </row>
    <row r="1921" spans="1:6" x14ac:dyDescent="0.3">
      <c r="A1921">
        <v>2024</v>
      </c>
      <c r="B1921">
        <v>12</v>
      </c>
      <c r="C1921" t="s">
        <v>37</v>
      </c>
      <c r="D1921" t="s">
        <v>57</v>
      </c>
      <c r="E1921" t="s">
        <v>60</v>
      </c>
      <c r="F1921">
        <v>52776.6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21"/>
  <sheetViews>
    <sheetView workbookViewId="0"/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2023</v>
      </c>
      <c r="B2">
        <v>1</v>
      </c>
      <c r="C2" t="s">
        <v>37</v>
      </c>
      <c r="D2" t="s">
        <v>38</v>
      </c>
      <c r="E2" t="s">
        <v>39</v>
      </c>
      <c r="F2">
        <v>10506.26</v>
      </c>
    </row>
    <row r="3" spans="1:6" x14ac:dyDescent="0.3">
      <c r="A3">
        <v>2023</v>
      </c>
      <c r="B3">
        <v>1</v>
      </c>
      <c r="C3" t="s">
        <v>40</v>
      </c>
      <c r="D3" t="s">
        <v>38</v>
      </c>
      <c r="E3" t="s">
        <v>39</v>
      </c>
      <c r="F3">
        <v>114378.19</v>
      </c>
    </row>
    <row r="4" spans="1:6" x14ac:dyDescent="0.3">
      <c r="A4">
        <v>2023</v>
      </c>
      <c r="B4">
        <v>1</v>
      </c>
      <c r="C4" t="s">
        <v>41</v>
      </c>
      <c r="D4" t="s">
        <v>38</v>
      </c>
      <c r="E4" t="s">
        <v>39</v>
      </c>
      <c r="F4">
        <v>74170.42</v>
      </c>
    </row>
    <row r="5" spans="1:6" x14ac:dyDescent="0.3">
      <c r="A5">
        <v>2023</v>
      </c>
      <c r="B5">
        <v>1</v>
      </c>
      <c r="C5" t="s">
        <v>42</v>
      </c>
      <c r="D5" t="s">
        <v>38</v>
      </c>
      <c r="E5" t="s">
        <v>39</v>
      </c>
      <c r="F5">
        <v>77225.56</v>
      </c>
    </row>
    <row r="6" spans="1:6" x14ac:dyDescent="0.3">
      <c r="A6">
        <v>2023</v>
      </c>
      <c r="B6">
        <v>1</v>
      </c>
      <c r="C6" t="s">
        <v>43</v>
      </c>
      <c r="D6" t="s">
        <v>38</v>
      </c>
      <c r="E6" t="s">
        <v>39</v>
      </c>
      <c r="F6">
        <v>76091.92</v>
      </c>
    </row>
    <row r="7" spans="1:6" x14ac:dyDescent="0.3">
      <c r="A7">
        <v>2023</v>
      </c>
      <c r="B7">
        <v>1</v>
      </c>
      <c r="C7" t="s">
        <v>44</v>
      </c>
      <c r="D7" t="s">
        <v>38</v>
      </c>
      <c r="E7" t="s">
        <v>39</v>
      </c>
      <c r="F7">
        <v>49706.06</v>
      </c>
    </row>
    <row r="8" spans="1:6" x14ac:dyDescent="0.3">
      <c r="A8">
        <v>2023</v>
      </c>
      <c r="B8">
        <v>1</v>
      </c>
      <c r="C8" t="s">
        <v>45</v>
      </c>
      <c r="D8" t="s">
        <v>38</v>
      </c>
      <c r="E8" t="s">
        <v>39</v>
      </c>
      <c r="F8">
        <v>62199.07</v>
      </c>
    </row>
    <row r="9" spans="1:6" x14ac:dyDescent="0.3">
      <c r="A9">
        <v>2023</v>
      </c>
      <c r="B9">
        <v>1</v>
      </c>
      <c r="C9" t="s">
        <v>37</v>
      </c>
      <c r="D9" t="s">
        <v>38</v>
      </c>
      <c r="E9" t="s">
        <v>46</v>
      </c>
      <c r="F9">
        <v>56641.16</v>
      </c>
    </row>
    <row r="10" spans="1:6" x14ac:dyDescent="0.3">
      <c r="A10">
        <v>2023</v>
      </c>
      <c r="B10">
        <v>1</v>
      </c>
      <c r="C10" t="s">
        <v>40</v>
      </c>
      <c r="D10" t="s">
        <v>38</v>
      </c>
      <c r="E10" t="s">
        <v>46</v>
      </c>
      <c r="F10">
        <v>119214.53</v>
      </c>
    </row>
    <row r="11" spans="1:6" x14ac:dyDescent="0.3">
      <c r="A11">
        <v>2023</v>
      </c>
      <c r="B11">
        <v>1</v>
      </c>
      <c r="C11" t="s">
        <v>41</v>
      </c>
      <c r="D11" t="s">
        <v>38</v>
      </c>
      <c r="E11" t="s">
        <v>46</v>
      </c>
      <c r="F11">
        <v>58688.06</v>
      </c>
    </row>
    <row r="12" spans="1:6" x14ac:dyDescent="0.3">
      <c r="A12">
        <v>2023</v>
      </c>
      <c r="B12">
        <v>1</v>
      </c>
      <c r="C12" t="s">
        <v>42</v>
      </c>
      <c r="D12" t="s">
        <v>38</v>
      </c>
      <c r="E12" t="s">
        <v>46</v>
      </c>
      <c r="F12">
        <v>34968.97</v>
      </c>
    </row>
    <row r="13" spans="1:6" x14ac:dyDescent="0.3">
      <c r="A13">
        <v>2023</v>
      </c>
      <c r="B13">
        <v>1</v>
      </c>
      <c r="C13" t="s">
        <v>43</v>
      </c>
      <c r="D13" t="s">
        <v>38</v>
      </c>
      <c r="E13" t="s">
        <v>46</v>
      </c>
      <c r="F13">
        <v>91436.62</v>
      </c>
    </row>
    <row r="14" spans="1:6" x14ac:dyDescent="0.3">
      <c r="A14">
        <v>2023</v>
      </c>
      <c r="B14">
        <v>1</v>
      </c>
      <c r="C14" t="s">
        <v>44</v>
      </c>
      <c r="D14" t="s">
        <v>38</v>
      </c>
      <c r="E14" t="s">
        <v>46</v>
      </c>
      <c r="F14">
        <v>68625.929999999993</v>
      </c>
    </row>
    <row r="15" spans="1:6" x14ac:dyDescent="0.3">
      <c r="A15">
        <v>2023</v>
      </c>
      <c r="B15">
        <v>1</v>
      </c>
      <c r="C15" t="s">
        <v>45</v>
      </c>
      <c r="D15" t="s">
        <v>38</v>
      </c>
      <c r="E15" t="s">
        <v>46</v>
      </c>
      <c r="F15">
        <v>75409.88</v>
      </c>
    </row>
    <row r="16" spans="1:6" x14ac:dyDescent="0.3">
      <c r="A16">
        <v>2023</v>
      </c>
      <c r="B16">
        <v>1</v>
      </c>
      <c r="C16" t="s">
        <v>37</v>
      </c>
      <c r="D16" t="s">
        <v>38</v>
      </c>
      <c r="E16" t="s">
        <v>47</v>
      </c>
      <c r="F16">
        <v>90317.32</v>
      </c>
    </row>
    <row r="17" spans="1:6" x14ac:dyDescent="0.3">
      <c r="A17">
        <v>2023</v>
      </c>
      <c r="B17">
        <v>1</v>
      </c>
      <c r="C17" t="s">
        <v>40</v>
      </c>
      <c r="D17" t="s">
        <v>38</v>
      </c>
      <c r="E17" t="s">
        <v>47</v>
      </c>
      <c r="F17">
        <v>75027.77</v>
      </c>
    </row>
    <row r="18" spans="1:6" x14ac:dyDescent="0.3">
      <c r="A18">
        <v>2023</v>
      </c>
      <c r="B18">
        <v>1</v>
      </c>
      <c r="C18" t="s">
        <v>41</v>
      </c>
      <c r="D18" t="s">
        <v>38</v>
      </c>
      <c r="E18" t="s">
        <v>47</v>
      </c>
      <c r="F18">
        <v>52351.199999999997</v>
      </c>
    </row>
    <row r="19" spans="1:6" x14ac:dyDescent="0.3">
      <c r="A19">
        <v>2023</v>
      </c>
      <c r="B19">
        <v>1</v>
      </c>
      <c r="C19" t="s">
        <v>42</v>
      </c>
      <c r="D19" t="s">
        <v>38</v>
      </c>
      <c r="E19" t="s">
        <v>47</v>
      </c>
      <c r="F19">
        <v>84714.87</v>
      </c>
    </row>
    <row r="20" spans="1:6" x14ac:dyDescent="0.3">
      <c r="A20">
        <v>2023</v>
      </c>
      <c r="B20">
        <v>1</v>
      </c>
      <c r="C20" t="s">
        <v>43</v>
      </c>
      <c r="D20" t="s">
        <v>38</v>
      </c>
      <c r="E20" t="s">
        <v>47</v>
      </c>
      <c r="F20">
        <v>76787.88</v>
      </c>
    </row>
    <row r="21" spans="1:6" x14ac:dyDescent="0.3">
      <c r="A21">
        <v>2023</v>
      </c>
      <c r="B21">
        <v>1</v>
      </c>
      <c r="C21" t="s">
        <v>44</v>
      </c>
      <c r="D21" t="s">
        <v>38</v>
      </c>
      <c r="E21" t="s">
        <v>47</v>
      </c>
      <c r="F21">
        <v>91190.399999999994</v>
      </c>
    </row>
    <row r="22" spans="1:6" x14ac:dyDescent="0.3">
      <c r="A22">
        <v>2023</v>
      </c>
      <c r="B22">
        <v>1</v>
      </c>
      <c r="C22" t="s">
        <v>45</v>
      </c>
      <c r="D22" t="s">
        <v>38</v>
      </c>
      <c r="E22" t="s">
        <v>47</v>
      </c>
      <c r="F22">
        <v>100445.97</v>
      </c>
    </row>
    <row r="23" spans="1:6" x14ac:dyDescent="0.3">
      <c r="A23">
        <v>2023</v>
      </c>
      <c r="B23">
        <v>1</v>
      </c>
      <c r="C23" t="s">
        <v>37</v>
      </c>
      <c r="D23" t="s">
        <v>48</v>
      </c>
      <c r="E23" t="s">
        <v>49</v>
      </c>
      <c r="F23">
        <v>101294.87</v>
      </c>
    </row>
    <row r="24" spans="1:6" x14ac:dyDescent="0.3">
      <c r="A24">
        <v>2023</v>
      </c>
      <c r="B24">
        <v>1</v>
      </c>
      <c r="C24" t="s">
        <v>40</v>
      </c>
      <c r="D24" t="s">
        <v>48</v>
      </c>
      <c r="E24" t="s">
        <v>49</v>
      </c>
      <c r="F24">
        <v>58889.48</v>
      </c>
    </row>
    <row r="25" spans="1:6" x14ac:dyDescent="0.3">
      <c r="A25">
        <v>2023</v>
      </c>
      <c r="B25">
        <v>1</v>
      </c>
      <c r="C25" t="s">
        <v>41</v>
      </c>
      <c r="D25" t="s">
        <v>48</v>
      </c>
      <c r="E25" t="s">
        <v>49</v>
      </c>
      <c r="F25">
        <v>10611.61</v>
      </c>
    </row>
    <row r="26" spans="1:6" x14ac:dyDescent="0.3">
      <c r="A26">
        <v>2023</v>
      </c>
      <c r="B26">
        <v>1</v>
      </c>
      <c r="C26" t="s">
        <v>42</v>
      </c>
      <c r="D26" t="s">
        <v>48</v>
      </c>
      <c r="E26" t="s">
        <v>49</v>
      </c>
      <c r="F26">
        <v>73838.05</v>
      </c>
    </row>
    <row r="27" spans="1:6" x14ac:dyDescent="0.3">
      <c r="A27">
        <v>2023</v>
      </c>
      <c r="B27">
        <v>1</v>
      </c>
      <c r="C27" t="s">
        <v>43</v>
      </c>
      <c r="D27" t="s">
        <v>48</v>
      </c>
      <c r="E27" t="s">
        <v>49</v>
      </c>
      <c r="F27">
        <v>44564.87</v>
      </c>
    </row>
    <row r="28" spans="1:6" x14ac:dyDescent="0.3">
      <c r="A28">
        <v>2023</v>
      </c>
      <c r="B28">
        <v>1</v>
      </c>
      <c r="C28" t="s">
        <v>44</v>
      </c>
      <c r="D28" t="s">
        <v>48</v>
      </c>
      <c r="E28" t="s">
        <v>49</v>
      </c>
      <c r="F28">
        <v>25013.96</v>
      </c>
    </row>
    <row r="29" spans="1:6" x14ac:dyDescent="0.3">
      <c r="A29">
        <v>2023</v>
      </c>
      <c r="B29">
        <v>1</v>
      </c>
      <c r="C29" t="s">
        <v>45</v>
      </c>
      <c r="D29" t="s">
        <v>48</v>
      </c>
      <c r="E29" t="s">
        <v>49</v>
      </c>
      <c r="F29">
        <v>117442.85</v>
      </c>
    </row>
    <row r="30" spans="1:6" x14ac:dyDescent="0.3">
      <c r="A30">
        <v>2023</v>
      </c>
      <c r="B30">
        <v>1</v>
      </c>
      <c r="C30" t="s">
        <v>37</v>
      </c>
      <c r="D30" t="s">
        <v>48</v>
      </c>
      <c r="E30" t="s">
        <v>50</v>
      </c>
      <c r="F30">
        <v>105423.21</v>
      </c>
    </row>
    <row r="31" spans="1:6" x14ac:dyDescent="0.3">
      <c r="A31">
        <v>2023</v>
      </c>
      <c r="B31">
        <v>1</v>
      </c>
      <c r="C31" t="s">
        <v>40</v>
      </c>
      <c r="D31" t="s">
        <v>48</v>
      </c>
      <c r="E31" t="s">
        <v>50</v>
      </c>
      <c r="F31">
        <v>28503.78</v>
      </c>
    </row>
    <row r="32" spans="1:6" x14ac:dyDescent="0.3">
      <c r="A32">
        <v>2023</v>
      </c>
      <c r="B32">
        <v>1</v>
      </c>
      <c r="C32" t="s">
        <v>41</v>
      </c>
      <c r="D32" t="s">
        <v>48</v>
      </c>
      <c r="E32" t="s">
        <v>50</v>
      </c>
      <c r="F32">
        <v>91210.44</v>
      </c>
    </row>
    <row r="33" spans="1:6" x14ac:dyDescent="0.3">
      <c r="A33">
        <v>2023</v>
      </c>
      <c r="B33">
        <v>1</v>
      </c>
      <c r="C33" t="s">
        <v>42</v>
      </c>
      <c r="D33" t="s">
        <v>48</v>
      </c>
      <c r="E33" t="s">
        <v>50</v>
      </c>
      <c r="F33">
        <v>58501.89</v>
      </c>
    </row>
    <row r="34" spans="1:6" x14ac:dyDescent="0.3">
      <c r="A34">
        <v>2023</v>
      </c>
      <c r="B34">
        <v>1</v>
      </c>
      <c r="C34" t="s">
        <v>43</v>
      </c>
      <c r="D34" t="s">
        <v>48</v>
      </c>
      <c r="E34" t="s">
        <v>50</v>
      </c>
      <c r="F34">
        <v>13209.31</v>
      </c>
    </row>
    <row r="35" spans="1:6" x14ac:dyDescent="0.3">
      <c r="A35">
        <v>2023</v>
      </c>
      <c r="B35">
        <v>1</v>
      </c>
      <c r="C35" t="s">
        <v>44</v>
      </c>
      <c r="D35" t="s">
        <v>48</v>
      </c>
      <c r="E35" t="s">
        <v>50</v>
      </c>
      <c r="F35">
        <v>42048.65</v>
      </c>
    </row>
    <row r="36" spans="1:6" x14ac:dyDescent="0.3">
      <c r="A36">
        <v>2023</v>
      </c>
      <c r="B36">
        <v>1</v>
      </c>
      <c r="C36" t="s">
        <v>45</v>
      </c>
      <c r="D36" t="s">
        <v>48</v>
      </c>
      <c r="E36" t="s">
        <v>50</v>
      </c>
      <c r="F36">
        <v>41204.49</v>
      </c>
    </row>
    <row r="37" spans="1:6" x14ac:dyDescent="0.3">
      <c r="A37">
        <v>2023</v>
      </c>
      <c r="B37">
        <v>1</v>
      </c>
      <c r="C37" t="s">
        <v>37</v>
      </c>
      <c r="D37" t="s">
        <v>48</v>
      </c>
      <c r="E37" t="s">
        <v>51</v>
      </c>
      <c r="F37">
        <v>112068.7</v>
      </c>
    </row>
    <row r="38" spans="1:6" x14ac:dyDescent="0.3">
      <c r="A38">
        <v>2023</v>
      </c>
      <c r="B38">
        <v>1</v>
      </c>
      <c r="C38" t="s">
        <v>40</v>
      </c>
      <c r="D38" t="s">
        <v>48</v>
      </c>
      <c r="E38" t="s">
        <v>51</v>
      </c>
      <c r="F38">
        <v>82363.820000000007</v>
      </c>
    </row>
    <row r="39" spans="1:6" x14ac:dyDescent="0.3">
      <c r="A39">
        <v>2023</v>
      </c>
      <c r="B39">
        <v>1</v>
      </c>
      <c r="C39" t="s">
        <v>41</v>
      </c>
      <c r="D39" t="s">
        <v>48</v>
      </c>
      <c r="E39" t="s">
        <v>51</v>
      </c>
      <c r="F39">
        <v>45168.79</v>
      </c>
    </row>
    <row r="40" spans="1:6" x14ac:dyDescent="0.3">
      <c r="A40">
        <v>2023</v>
      </c>
      <c r="B40">
        <v>1</v>
      </c>
      <c r="C40" t="s">
        <v>42</v>
      </c>
      <c r="D40" t="s">
        <v>48</v>
      </c>
      <c r="E40" t="s">
        <v>51</v>
      </c>
      <c r="F40">
        <v>13579.2</v>
      </c>
    </row>
    <row r="41" spans="1:6" x14ac:dyDescent="0.3">
      <c r="A41">
        <v>2023</v>
      </c>
      <c r="B41">
        <v>1</v>
      </c>
      <c r="C41" t="s">
        <v>43</v>
      </c>
      <c r="D41" t="s">
        <v>48</v>
      </c>
      <c r="E41" t="s">
        <v>51</v>
      </c>
      <c r="F41">
        <v>106302.09</v>
      </c>
    </row>
    <row r="42" spans="1:6" x14ac:dyDescent="0.3">
      <c r="A42">
        <v>2023</v>
      </c>
      <c r="B42">
        <v>1</v>
      </c>
      <c r="C42" t="s">
        <v>44</v>
      </c>
      <c r="D42" t="s">
        <v>48</v>
      </c>
      <c r="E42" t="s">
        <v>51</v>
      </c>
      <c r="F42">
        <v>86082.26</v>
      </c>
    </row>
    <row r="43" spans="1:6" x14ac:dyDescent="0.3">
      <c r="A43">
        <v>2023</v>
      </c>
      <c r="B43">
        <v>1</v>
      </c>
      <c r="C43" t="s">
        <v>45</v>
      </c>
      <c r="D43" t="s">
        <v>48</v>
      </c>
      <c r="E43" t="s">
        <v>51</v>
      </c>
      <c r="F43">
        <v>29694.32</v>
      </c>
    </row>
    <row r="44" spans="1:6" x14ac:dyDescent="0.3">
      <c r="A44">
        <v>2023</v>
      </c>
      <c r="B44">
        <v>1</v>
      </c>
      <c r="C44" t="s">
        <v>37</v>
      </c>
      <c r="D44" t="s">
        <v>48</v>
      </c>
      <c r="E44" t="s">
        <v>52</v>
      </c>
      <c r="F44">
        <v>113594.03</v>
      </c>
    </row>
    <row r="45" spans="1:6" x14ac:dyDescent="0.3">
      <c r="A45">
        <v>2023</v>
      </c>
      <c r="B45">
        <v>1</v>
      </c>
      <c r="C45" t="s">
        <v>40</v>
      </c>
      <c r="D45" t="s">
        <v>48</v>
      </c>
      <c r="E45" t="s">
        <v>52</v>
      </c>
      <c r="F45">
        <v>53307.89</v>
      </c>
    </row>
    <row r="46" spans="1:6" x14ac:dyDescent="0.3">
      <c r="A46">
        <v>2023</v>
      </c>
      <c r="B46">
        <v>1</v>
      </c>
      <c r="C46" t="s">
        <v>41</v>
      </c>
      <c r="D46" t="s">
        <v>48</v>
      </c>
      <c r="E46" t="s">
        <v>52</v>
      </c>
      <c r="F46">
        <v>95211.81</v>
      </c>
    </row>
    <row r="47" spans="1:6" x14ac:dyDescent="0.3">
      <c r="A47">
        <v>2023</v>
      </c>
      <c r="B47">
        <v>1</v>
      </c>
      <c r="C47" t="s">
        <v>42</v>
      </c>
      <c r="D47" t="s">
        <v>48</v>
      </c>
      <c r="E47" t="s">
        <v>52</v>
      </c>
      <c r="F47">
        <v>68530.53</v>
      </c>
    </row>
    <row r="48" spans="1:6" x14ac:dyDescent="0.3">
      <c r="A48">
        <v>2023</v>
      </c>
      <c r="B48">
        <v>1</v>
      </c>
      <c r="C48" t="s">
        <v>43</v>
      </c>
      <c r="D48" t="s">
        <v>48</v>
      </c>
      <c r="E48" t="s">
        <v>52</v>
      </c>
      <c r="F48">
        <v>34026.57</v>
      </c>
    </row>
    <row r="49" spans="1:6" x14ac:dyDescent="0.3">
      <c r="A49">
        <v>2023</v>
      </c>
      <c r="B49">
        <v>1</v>
      </c>
      <c r="C49" t="s">
        <v>44</v>
      </c>
      <c r="D49" t="s">
        <v>48</v>
      </c>
      <c r="E49" t="s">
        <v>52</v>
      </c>
      <c r="F49">
        <v>57507.199999999997</v>
      </c>
    </row>
    <row r="50" spans="1:6" x14ac:dyDescent="0.3">
      <c r="A50">
        <v>2023</v>
      </c>
      <c r="B50">
        <v>1</v>
      </c>
      <c r="C50" t="s">
        <v>45</v>
      </c>
      <c r="D50" t="s">
        <v>48</v>
      </c>
      <c r="E50" t="s">
        <v>52</v>
      </c>
      <c r="F50">
        <v>22119.25</v>
      </c>
    </row>
    <row r="51" spans="1:6" x14ac:dyDescent="0.3">
      <c r="A51">
        <v>2023</v>
      </c>
      <c r="B51">
        <v>1</v>
      </c>
      <c r="C51" t="s">
        <v>37</v>
      </c>
      <c r="D51" t="s">
        <v>48</v>
      </c>
      <c r="E51" t="s">
        <v>53</v>
      </c>
      <c r="F51">
        <v>65922.47</v>
      </c>
    </row>
    <row r="52" spans="1:6" x14ac:dyDescent="0.3">
      <c r="A52">
        <v>2023</v>
      </c>
      <c r="B52">
        <v>1</v>
      </c>
      <c r="C52" t="s">
        <v>40</v>
      </c>
      <c r="D52" t="s">
        <v>48</v>
      </c>
      <c r="E52" t="s">
        <v>53</v>
      </c>
      <c r="F52">
        <v>39869.61</v>
      </c>
    </row>
    <row r="53" spans="1:6" x14ac:dyDescent="0.3">
      <c r="A53">
        <v>2023</v>
      </c>
      <c r="B53">
        <v>1</v>
      </c>
      <c r="C53" t="s">
        <v>41</v>
      </c>
      <c r="D53" t="s">
        <v>48</v>
      </c>
      <c r="E53" t="s">
        <v>53</v>
      </c>
      <c r="F53">
        <v>48894.15</v>
      </c>
    </row>
    <row r="54" spans="1:6" x14ac:dyDescent="0.3">
      <c r="A54">
        <v>2023</v>
      </c>
      <c r="B54">
        <v>1</v>
      </c>
      <c r="C54" t="s">
        <v>42</v>
      </c>
      <c r="D54" t="s">
        <v>48</v>
      </c>
      <c r="E54" t="s">
        <v>53</v>
      </c>
      <c r="F54">
        <v>46604.28</v>
      </c>
    </row>
    <row r="55" spans="1:6" x14ac:dyDescent="0.3">
      <c r="A55">
        <v>2023</v>
      </c>
      <c r="B55">
        <v>1</v>
      </c>
      <c r="C55" t="s">
        <v>43</v>
      </c>
      <c r="D55" t="s">
        <v>48</v>
      </c>
      <c r="E55" t="s">
        <v>53</v>
      </c>
      <c r="F55">
        <v>111068.37</v>
      </c>
    </row>
    <row r="56" spans="1:6" x14ac:dyDescent="0.3">
      <c r="A56">
        <v>2023</v>
      </c>
      <c r="B56">
        <v>1</v>
      </c>
      <c r="C56" t="s">
        <v>44</v>
      </c>
      <c r="D56" t="s">
        <v>48</v>
      </c>
      <c r="E56" t="s">
        <v>53</v>
      </c>
      <c r="F56">
        <v>57506.94</v>
      </c>
    </row>
    <row r="57" spans="1:6" x14ac:dyDescent="0.3">
      <c r="A57">
        <v>2023</v>
      </c>
      <c r="B57">
        <v>1</v>
      </c>
      <c r="C57" t="s">
        <v>45</v>
      </c>
      <c r="D57" t="s">
        <v>48</v>
      </c>
      <c r="E57" t="s">
        <v>53</v>
      </c>
      <c r="F57">
        <v>87958.35</v>
      </c>
    </row>
    <row r="58" spans="1:6" x14ac:dyDescent="0.3">
      <c r="A58">
        <v>2023</v>
      </c>
      <c r="B58">
        <v>1</v>
      </c>
      <c r="C58" t="s">
        <v>37</v>
      </c>
      <c r="D58" t="s">
        <v>48</v>
      </c>
      <c r="E58" t="s">
        <v>54</v>
      </c>
      <c r="F58">
        <v>56211.11</v>
      </c>
    </row>
    <row r="59" spans="1:6" x14ac:dyDescent="0.3">
      <c r="A59">
        <v>2023</v>
      </c>
      <c r="B59">
        <v>1</v>
      </c>
      <c r="C59" t="s">
        <v>40</v>
      </c>
      <c r="D59" t="s">
        <v>48</v>
      </c>
      <c r="E59" t="s">
        <v>54</v>
      </c>
      <c r="F59">
        <v>63900.25</v>
      </c>
    </row>
    <row r="60" spans="1:6" x14ac:dyDescent="0.3">
      <c r="A60">
        <v>2023</v>
      </c>
      <c r="B60">
        <v>1</v>
      </c>
      <c r="C60" t="s">
        <v>41</v>
      </c>
      <c r="D60" t="s">
        <v>48</v>
      </c>
      <c r="E60" t="s">
        <v>54</v>
      </c>
      <c r="F60">
        <v>58768.77</v>
      </c>
    </row>
    <row r="61" spans="1:6" x14ac:dyDescent="0.3">
      <c r="A61">
        <v>2023</v>
      </c>
      <c r="B61">
        <v>1</v>
      </c>
      <c r="C61" t="s">
        <v>42</v>
      </c>
      <c r="D61" t="s">
        <v>48</v>
      </c>
      <c r="E61" t="s">
        <v>54</v>
      </c>
      <c r="F61">
        <v>40762.35</v>
      </c>
    </row>
    <row r="62" spans="1:6" x14ac:dyDescent="0.3">
      <c r="A62">
        <v>2023</v>
      </c>
      <c r="B62">
        <v>1</v>
      </c>
      <c r="C62" t="s">
        <v>43</v>
      </c>
      <c r="D62" t="s">
        <v>48</v>
      </c>
      <c r="E62" t="s">
        <v>54</v>
      </c>
      <c r="F62">
        <v>32993.51</v>
      </c>
    </row>
    <row r="63" spans="1:6" x14ac:dyDescent="0.3">
      <c r="A63">
        <v>2023</v>
      </c>
      <c r="B63">
        <v>1</v>
      </c>
      <c r="C63" t="s">
        <v>44</v>
      </c>
      <c r="D63" t="s">
        <v>48</v>
      </c>
      <c r="E63" t="s">
        <v>54</v>
      </c>
      <c r="F63">
        <v>40924.589999999997</v>
      </c>
    </row>
    <row r="64" spans="1:6" x14ac:dyDescent="0.3">
      <c r="A64">
        <v>2023</v>
      </c>
      <c r="B64">
        <v>1</v>
      </c>
      <c r="C64" t="s">
        <v>45</v>
      </c>
      <c r="D64" t="s">
        <v>48</v>
      </c>
      <c r="E64" t="s">
        <v>54</v>
      </c>
      <c r="F64">
        <v>15870.95</v>
      </c>
    </row>
    <row r="65" spans="1:6" x14ac:dyDescent="0.3">
      <c r="A65">
        <v>2023</v>
      </c>
      <c r="B65">
        <v>1</v>
      </c>
      <c r="C65" t="s">
        <v>37</v>
      </c>
      <c r="D65" t="s">
        <v>48</v>
      </c>
      <c r="E65" t="s">
        <v>55</v>
      </c>
      <c r="F65">
        <v>84090.53</v>
      </c>
    </row>
    <row r="66" spans="1:6" x14ac:dyDescent="0.3">
      <c r="A66">
        <v>2023</v>
      </c>
      <c r="B66">
        <v>1</v>
      </c>
      <c r="C66" t="s">
        <v>40</v>
      </c>
      <c r="D66" t="s">
        <v>48</v>
      </c>
      <c r="E66" t="s">
        <v>55</v>
      </c>
      <c r="F66">
        <v>94173.66</v>
      </c>
    </row>
    <row r="67" spans="1:6" x14ac:dyDescent="0.3">
      <c r="A67">
        <v>2023</v>
      </c>
      <c r="B67">
        <v>1</v>
      </c>
      <c r="C67" t="s">
        <v>41</v>
      </c>
      <c r="D67" t="s">
        <v>48</v>
      </c>
      <c r="E67" t="s">
        <v>55</v>
      </c>
      <c r="F67">
        <v>80237.87</v>
      </c>
    </row>
    <row r="68" spans="1:6" x14ac:dyDescent="0.3">
      <c r="A68">
        <v>2023</v>
      </c>
      <c r="B68">
        <v>1</v>
      </c>
      <c r="C68" t="s">
        <v>42</v>
      </c>
      <c r="D68" t="s">
        <v>48</v>
      </c>
      <c r="E68" t="s">
        <v>55</v>
      </c>
      <c r="F68">
        <v>67747.48</v>
      </c>
    </row>
    <row r="69" spans="1:6" x14ac:dyDescent="0.3">
      <c r="A69">
        <v>2023</v>
      </c>
      <c r="B69">
        <v>1</v>
      </c>
      <c r="C69" t="s">
        <v>43</v>
      </c>
      <c r="D69" t="s">
        <v>48</v>
      </c>
      <c r="E69" t="s">
        <v>55</v>
      </c>
      <c r="F69">
        <v>10143.879999999999</v>
      </c>
    </row>
    <row r="70" spans="1:6" x14ac:dyDescent="0.3">
      <c r="A70">
        <v>2023</v>
      </c>
      <c r="B70">
        <v>1</v>
      </c>
      <c r="C70" t="s">
        <v>44</v>
      </c>
      <c r="D70" t="s">
        <v>48</v>
      </c>
      <c r="E70" t="s">
        <v>55</v>
      </c>
      <c r="F70">
        <v>114930.86</v>
      </c>
    </row>
    <row r="71" spans="1:6" x14ac:dyDescent="0.3">
      <c r="A71">
        <v>2023</v>
      </c>
      <c r="B71">
        <v>1</v>
      </c>
      <c r="C71" t="s">
        <v>45</v>
      </c>
      <c r="D71" t="s">
        <v>48</v>
      </c>
      <c r="E71" t="s">
        <v>55</v>
      </c>
      <c r="F71">
        <v>14941.27</v>
      </c>
    </row>
    <row r="72" spans="1:6" x14ac:dyDescent="0.3">
      <c r="A72">
        <v>2023</v>
      </c>
      <c r="B72">
        <v>1</v>
      </c>
      <c r="C72" t="s">
        <v>37</v>
      </c>
      <c r="D72" t="s">
        <v>48</v>
      </c>
      <c r="E72" t="s">
        <v>56</v>
      </c>
      <c r="F72">
        <v>118494.11</v>
      </c>
    </row>
    <row r="73" spans="1:6" x14ac:dyDescent="0.3">
      <c r="A73">
        <v>2023</v>
      </c>
      <c r="B73">
        <v>1</v>
      </c>
      <c r="C73" t="s">
        <v>40</v>
      </c>
      <c r="D73" t="s">
        <v>48</v>
      </c>
      <c r="E73" t="s">
        <v>56</v>
      </c>
      <c r="F73">
        <v>39022.160000000003</v>
      </c>
    </row>
    <row r="74" spans="1:6" x14ac:dyDescent="0.3">
      <c r="A74">
        <v>2023</v>
      </c>
      <c r="B74">
        <v>1</v>
      </c>
      <c r="C74" t="s">
        <v>41</v>
      </c>
      <c r="D74" t="s">
        <v>48</v>
      </c>
      <c r="E74" t="s">
        <v>56</v>
      </c>
      <c r="F74">
        <v>64467.05</v>
      </c>
    </row>
    <row r="75" spans="1:6" x14ac:dyDescent="0.3">
      <c r="A75">
        <v>2023</v>
      </c>
      <c r="B75">
        <v>1</v>
      </c>
      <c r="C75" t="s">
        <v>42</v>
      </c>
      <c r="D75" t="s">
        <v>48</v>
      </c>
      <c r="E75" t="s">
        <v>56</v>
      </c>
      <c r="F75">
        <v>68704.570000000007</v>
      </c>
    </row>
    <row r="76" spans="1:6" x14ac:dyDescent="0.3">
      <c r="A76">
        <v>2023</v>
      </c>
      <c r="B76">
        <v>1</v>
      </c>
      <c r="C76" t="s">
        <v>43</v>
      </c>
      <c r="D76" t="s">
        <v>48</v>
      </c>
      <c r="E76" t="s">
        <v>56</v>
      </c>
      <c r="F76">
        <v>87717.63</v>
      </c>
    </row>
    <row r="77" spans="1:6" x14ac:dyDescent="0.3">
      <c r="A77">
        <v>2023</v>
      </c>
      <c r="B77">
        <v>1</v>
      </c>
      <c r="C77" t="s">
        <v>44</v>
      </c>
      <c r="D77" t="s">
        <v>48</v>
      </c>
      <c r="E77" t="s">
        <v>56</v>
      </c>
      <c r="F77">
        <v>34025.160000000003</v>
      </c>
    </row>
    <row r="78" spans="1:6" x14ac:dyDescent="0.3">
      <c r="A78">
        <v>2023</v>
      </c>
      <c r="B78">
        <v>1</v>
      </c>
      <c r="C78" t="s">
        <v>45</v>
      </c>
      <c r="D78" t="s">
        <v>48</v>
      </c>
      <c r="E78" t="s">
        <v>56</v>
      </c>
      <c r="F78">
        <v>46068.77</v>
      </c>
    </row>
    <row r="79" spans="1:6" x14ac:dyDescent="0.3">
      <c r="A79">
        <v>2023</v>
      </c>
      <c r="B79">
        <v>1</v>
      </c>
      <c r="C79" t="s">
        <v>37</v>
      </c>
      <c r="D79" t="s">
        <v>57</v>
      </c>
      <c r="E79" t="s">
        <v>58</v>
      </c>
      <c r="F79">
        <v>113181.89</v>
      </c>
    </row>
    <row r="80" spans="1:6" x14ac:dyDescent="0.3">
      <c r="A80">
        <v>2023</v>
      </c>
      <c r="B80">
        <v>1</v>
      </c>
      <c r="C80" t="s">
        <v>37</v>
      </c>
      <c r="D80" t="s">
        <v>57</v>
      </c>
      <c r="E80" t="s">
        <v>59</v>
      </c>
      <c r="F80">
        <v>155471.62</v>
      </c>
    </row>
    <row r="81" spans="1:6" x14ac:dyDescent="0.3">
      <c r="A81">
        <v>2023</v>
      </c>
      <c r="B81">
        <v>1</v>
      </c>
      <c r="C81" t="s">
        <v>37</v>
      </c>
      <c r="D81" t="s">
        <v>57</v>
      </c>
      <c r="E81" t="s">
        <v>60</v>
      </c>
      <c r="F81">
        <v>43655.55</v>
      </c>
    </row>
    <row r="82" spans="1:6" x14ac:dyDescent="0.3">
      <c r="A82">
        <v>2023</v>
      </c>
      <c r="B82">
        <v>2</v>
      </c>
      <c r="C82" t="s">
        <v>37</v>
      </c>
      <c r="D82" t="s">
        <v>38</v>
      </c>
      <c r="E82" t="s">
        <v>39</v>
      </c>
      <c r="F82">
        <v>38994.43</v>
      </c>
    </row>
    <row r="83" spans="1:6" x14ac:dyDescent="0.3">
      <c r="A83">
        <v>2023</v>
      </c>
      <c r="B83">
        <v>2</v>
      </c>
      <c r="C83" t="s">
        <v>40</v>
      </c>
      <c r="D83" t="s">
        <v>38</v>
      </c>
      <c r="E83" t="s">
        <v>39</v>
      </c>
      <c r="F83">
        <v>16650.88</v>
      </c>
    </row>
    <row r="84" spans="1:6" x14ac:dyDescent="0.3">
      <c r="A84">
        <v>2023</v>
      </c>
      <c r="B84">
        <v>2</v>
      </c>
      <c r="C84" t="s">
        <v>41</v>
      </c>
      <c r="D84" t="s">
        <v>38</v>
      </c>
      <c r="E84" t="s">
        <v>39</v>
      </c>
      <c r="F84">
        <v>110014.94</v>
      </c>
    </row>
    <row r="85" spans="1:6" x14ac:dyDescent="0.3">
      <c r="A85">
        <v>2023</v>
      </c>
      <c r="B85">
        <v>2</v>
      </c>
      <c r="C85" t="s">
        <v>42</v>
      </c>
      <c r="D85" t="s">
        <v>38</v>
      </c>
      <c r="E85" t="s">
        <v>39</v>
      </c>
      <c r="F85">
        <v>81003.61</v>
      </c>
    </row>
    <row r="86" spans="1:6" x14ac:dyDescent="0.3">
      <c r="A86">
        <v>2023</v>
      </c>
      <c r="B86">
        <v>2</v>
      </c>
      <c r="C86" t="s">
        <v>43</v>
      </c>
      <c r="D86" t="s">
        <v>38</v>
      </c>
      <c r="E86" t="s">
        <v>39</v>
      </c>
      <c r="F86">
        <v>70948.91</v>
      </c>
    </row>
    <row r="87" spans="1:6" x14ac:dyDescent="0.3">
      <c r="A87">
        <v>2023</v>
      </c>
      <c r="B87">
        <v>2</v>
      </c>
      <c r="C87" t="s">
        <v>44</v>
      </c>
      <c r="D87" t="s">
        <v>38</v>
      </c>
      <c r="E87" t="s">
        <v>39</v>
      </c>
      <c r="F87">
        <v>119543.3</v>
      </c>
    </row>
    <row r="88" spans="1:6" x14ac:dyDescent="0.3">
      <c r="A88">
        <v>2023</v>
      </c>
      <c r="B88">
        <v>2</v>
      </c>
      <c r="C88" t="s">
        <v>45</v>
      </c>
      <c r="D88" t="s">
        <v>38</v>
      </c>
      <c r="E88" t="s">
        <v>39</v>
      </c>
      <c r="F88">
        <v>100477.3</v>
      </c>
    </row>
    <row r="89" spans="1:6" x14ac:dyDescent="0.3">
      <c r="A89">
        <v>2023</v>
      </c>
      <c r="B89">
        <v>2</v>
      </c>
      <c r="C89" t="s">
        <v>37</v>
      </c>
      <c r="D89" t="s">
        <v>38</v>
      </c>
      <c r="E89" t="s">
        <v>46</v>
      </c>
      <c r="F89">
        <v>45357.53</v>
      </c>
    </row>
    <row r="90" spans="1:6" x14ac:dyDescent="0.3">
      <c r="A90">
        <v>2023</v>
      </c>
      <c r="B90">
        <v>2</v>
      </c>
      <c r="C90" t="s">
        <v>40</v>
      </c>
      <c r="D90" t="s">
        <v>38</v>
      </c>
      <c r="E90" t="s">
        <v>46</v>
      </c>
      <c r="F90">
        <v>103075.24</v>
      </c>
    </row>
    <row r="91" spans="1:6" x14ac:dyDescent="0.3">
      <c r="A91">
        <v>2023</v>
      </c>
      <c r="B91">
        <v>2</v>
      </c>
      <c r="C91" t="s">
        <v>41</v>
      </c>
      <c r="D91" t="s">
        <v>38</v>
      </c>
      <c r="E91" t="s">
        <v>46</v>
      </c>
      <c r="F91">
        <v>55234.85</v>
      </c>
    </row>
    <row r="92" spans="1:6" x14ac:dyDescent="0.3">
      <c r="A92">
        <v>2023</v>
      </c>
      <c r="B92">
        <v>2</v>
      </c>
      <c r="C92" t="s">
        <v>42</v>
      </c>
      <c r="D92" t="s">
        <v>38</v>
      </c>
      <c r="E92" t="s">
        <v>46</v>
      </c>
      <c r="F92">
        <v>90382.62</v>
      </c>
    </row>
    <row r="93" spans="1:6" x14ac:dyDescent="0.3">
      <c r="A93">
        <v>2023</v>
      </c>
      <c r="B93">
        <v>2</v>
      </c>
      <c r="C93" t="s">
        <v>43</v>
      </c>
      <c r="D93" t="s">
        <v>38</v>
      </c>
      <c r="E93" t="s">
        <v>46</v>
      </c>
      <c r="F93">
        <v>36934.39</v>
      </c>
    </row>
    <row r="94" spans="1:6" x14ac:dyDescent="0.3">
      <c r="A94">
        <v>2023</v>
      </c>
      <c r="B94">
        <v>2</v>
      </c>
      <c r="C94" t="s">
        <v>44</v>
      </c>
      <c r="D94" t="s">
        <v>38</v>
      </c>
      <c r="E94" t="s">
        <v>46</v>
      </c>
      <c r="F94">
        <v>13704.17</v>
      </c>
    </row>
    <row r="95" spans="1:6" x14ac:dyDescent="0.3">
      <c r="A95">
        <v>2023</v>
      </c>
      <c r="B95">
        <v>2</v>
      </c>
      <c r="C95" t="s">
        <v>45</v>
      </c>
      <c r="D95" t="s">
        <v>38</v>
      </c>
      <c r="E95" t="s">
        <v>46</v>
      </c>
      <c r="F95">
        <v>37047.65</v>
      </c>
    </row>
    <row r="96" spans="1:6" x14ac:dyDescent="0.3">
      <c r="A96">
        <v>2023</v>
      </c>
      <c r="B96">
        <v>2</v>
      </c>
      <c r="C96" t="s">
        <v>37</v>
      </c>
      <c r="D96" t="s">
        <v>38</v>
      </c>
      <c r="E96" t="s">
        <v>47</v>
      </c>
      <c r="F96">
        <v>101797.95</v>
      </c>
    </row>
    <row r="97" spans="1:6" x14ac:dyDescent="0.3">
      <c r="A97">
        <v>2023</v>
      </c>
      <c r="B97">
        <v>2</v>
      </c>
      <c r="C97" t="s">
        <v>40</v>
      </c>
      <c r="D97" t="s">
        <v>38</v>
      </c>
      <c r="E97" t="s">
        <v>47</v>
      </c>
      <c r="F97">
        <v>46753.22</v>
      </c>
    </row>
    <row r="98" spans="1:6" x14ac:dyDescent="0.3">
      <c r="A98">
        <v>2023</v>
      </c>
      <c r="B98">
        <v>2</v>
      </c>
      <c r="C98" t="s">
        <v>41</v>
      </c>
      <c r="D98" t="s">
        <v>38</v>
      </c>
      <c r="E98" t="s">
        <v>47</v>
      </c>
      <c r="F98">
        <v>86987.1</v>
      </c>
    </row>
    <row r="99" spans="1:6" x14ac:dyDescent="0.3">
      <c r="A99">
        <v>2023</v>
      </c>
      <c r="B99">
        <v>2</v>
      </c>
      <c r="C99" t="s">
        <v>42</v>
      </c>
      <c r="D99" t="s">
        <v>38</v>
      </c>
      <c r="E99" t="s">
        <v>47</v>
      </c>
      <c r="F99">
        <v>32548.34</v>
      </c>
    </row>
    <row r="100" spans="1:6" x14ac:dyDescent="0.3">
      <c r="A100">
        <v>2023</v>
      </c>
      <c r="B100">
        <v>2</v>
      </c>
      <c r="C100" t="s">
        <v>43</v>
      </c>
      <c r="D100" t="s">
        <v>38</v>
      </c>
      <c r="E100" t="s">
        <v>47</v>
      </c>
      <c r="F100">
        <v>30805.64</v>
      </c>
    </row>
    <row r="101" spans="1:6" x14ac:dyDescent="0.3">
      <c r="A101">
        <v>2023</v>
      </c>
      <c r="B101">
        <v>2</v>
      </c>
      <c r="C101" t="s">
        <v>44</v>
      </c>
      <c r="D101" t="s">
        <v>38</v>
      </c>
      <c r="E101" t="s">
        <v>47</v>
      </c>
      <c r="F101">
        <v>74638.600000000006</v>
      </c>
    </row>
    <row r="102" spans="1:6" x14ac:dyDescent="0.3">
      <c r="A102">
        <v>2023</v>
      </c>
      <c r="B102">
        <v>2</v>
      </c>
      <c r="C102" t="s">
        <v>45</v>
      </c>
      <c r="D102" t="s">
        <v>38</v>
      </c>
      <c r="E102" t="s">
        <v>47</v>
      </c>
      <c r="F102">
        <v>34083.93</v>
      </c>
    </row>
    <row r="103" spans="1:6" x14ac:dyDescent="0.3">
      <c r="A103">
        <v>2023</v>
      </c>
      <c r="B103">
        <v>2</v>
      </c>
      <c r="C103" t="s">
        <v>37</v>
      </c>
      <c r="D103" t="s">
        <v>48</v>
      </c>
      <c r="E103" t="s">
        <v>49</v>
      </c>
      <c r="F103">
        <v>54383.64</v>
      </c>
    </row>
    <row r="104" spans="1:6" x14ac:dyDescent="0.3">
      <c r="A104">
        <v>2023</v>
      </c>
      <c r="B104">
        <v>2</v>
      </c>
      <c r="C104" t="s">
        <v>40</v>
      </c>
      <c r="D104" t="s">
        <v>48</v>
      </c>
      <c r="E104" t="s">
        <v>49</v>
      </c>
      <c r="F104">
        <v>42735.54</v>
      </c>
    </row>
    <row r="105" spans="1:6" x14ac:dyDescent="0.3">
      <c r="A105">
        <v>2023</v>
      </c>
      <c r="B105">
        <v>2</v>
      </c>
      <c r="C105" t="s">
        <v>41</v>
      </c>
      <c r="D105" t="s">
        <v>48</v>
      </c>
      <c r="E105" t="s">
        <v>49</v>
      </c>
      <c r="F105">
        <v>13939.39</v>
      </c>
    </row>
    <row r="106" spans="1:6" x14ac:dyDescent="0.3">
      <c r="A106">
        <v>2023</v>
      </c>
      <c r="B106">
        <v>2</v>
      </c>
      <c r="C106" t="s">
        <v>42</v>
      </c>
      <c r="D106" t="s">
        <v>48</v>
      </c>
      <c r="E106" t="s">
        <v>49</v>
      </c>
      <c r="F106">
        <v>66548</v>
      </c>
    </row>
    <row r="107" spans="1:6" x14ac:dyDescent="0.3">
      <c r="A107">
        <v>2023</v>
      </c>
      <c r="B107">
        <v>2</v>
      </c>
      <c r="C107" t="s">
        <v>43</v>
      </c>
      <c r="D107" t="s">
        <v>48</v>
      </c>
      <c r="E107" t="s">
        <v>49</v>
      </c>
      <c r="F107">
        <v>109110.01</v>
      </c>
    </row>
    <row r="108" spans="1:6" x14ac:dyDescent="0.3">
      <c r="A108">
        <v>2023</v>
      </c>
      <c r="B108">
        <v>2</v>
      </c>
      <c r="C108" t="s">
        <v>44</v>
      </c>
      <c r="D108" t="s">
        <v>48</v>
      </c>
      <c r="E108" t="s">
        <v>49</v>
      </c>
      <c r="F108">
        <v>78469.570000000007</v>
      </c>
    </row>
    <row r="109" spans="1:6" x14ac:dyDescent="0.3">
      <c r="A109">
        <v>2023</v>
      </c>
      <c r="B109">
        <v>2</v>
      </c>
      <c r="C109" t="s">
        <v>45</v>
      </c>
      <c r="D109" t="s">
        <v>48</v>
      </c>
      <c r="E109" t="s">
        <v>49</v>
      </c>
      <c r="F109">
        <v>22922.25</v>
      </c>
    </row>
    <row r="110" spans="1:6" x14ac:dyDescent="0.3">
      <c r="A110">
        <v>2023</v>
      </c>
      <c r="B110">
        <v>2</v>
      </c>
      <c r="C110" t="s">
        <v>37</v>
      </c>
      <c r="D110" t="s">
        <v>48</v>
      </c>
      <c r="E110" t="s">
        <v>50</v>
      </c>
      <c r="F110">
        <v>62036.43</v>
      </c>
    </row>
    <row r="111" spans="1:6" x14ac:dyDescent="0.3">
      <c r="A111">
        <v>2023</v>
      </c>
      <c r="B111">
        <v>2</v>
      </c>
      <c r="C111" t="s">
        <v>40</v>
      </c>
      <c r="D111" t="s">
        <v>48</v>
      </c>
      <c r="E111" t="s">
        <v>50</v>
      </c>
      <c r="F111">
        <v>27591.26</v>
      </c>
    </row>
    <row r="112" spans="1:6" x14ac:dyDescent="0.3">
      <c r="A112">
        <v>2023</v>
      </c>
      <c r="B112">
        <v>2</v>
      </c>
      <c r="C112" t="s">
        <v>41</v>
      </c>
      <c r="D112" t="s">
        <v>48</v>
      </c>
      <c r="E112" t="s">
        <v>50</v>
      </c>
      <c r="F112">
        <v>65552.67</v>
      </c>
    </row>
    <row r="113" spans="1:6" x14ac:dyDescent="0.3">
      <c r="A113">
        <v>2023</v>
      </c>
      <c r="B113">
        <v>2</v>
      </c>
      <c r="C113" t="s">
        <v>42</v>
      </c>
      <c r="D113" t="s">
        <v>48</v>
      </c>
      <c r="E113" t="s">
        <v>50</v>
      </c>
      <c r="F113">
        <v>37973.57</v>
      </c>
    </row>
    <row r="114" spans="1:6" x14ac:dyDescent="0.3">
      <c r="A114">
        <v>2023</v>
      </c>
      <c r="B114">
        <v>2</v>
      </c>
      <c r="C114" t="s">
        <v>43</v>
      </c>
      <c r="D114" t="s">
        <v>48</v>
      </c>
      <c r="E114" t="s">
        <v>50</v>
      </c>
      <c r="F114">
        <v>37027.49</v>
      </c>
    </row>
    <row r="115" spans="1:6" x14ac:dyDescent="0.3">
      <c r="A115">
        <v>2023</v>
      </c>
      <c r="B115">
        <v>2</v>
      </c>
      <c r="C115" t="s">
        <v>44</v>
      </c>
      <c r="D115" t="s">
        <v>48</v>
      </c>
      <c r="E115" t="s">
        <v>50</v>
      </c>
      <c r="F115">
        <v>88457.05</v>
      </c>
    </row>
    <row r="116" spans="1:6" x14ac:dyDescent="0.3">
      <c r="A116">
        <v>2023</v>
      </c>
      <c r="B116">
        <v>2</v>
      </c>
      <c r="C116" t="s">
        <v>45</v>
      </c>
      <c r="D116" t="s">
        <v>48</v>
      </c>
      <c r="E116" t="s">
        <v>50</v>
      </c>
      <c r="F116">
        <v>10353.879999999999</v>
      </c>
    </row>
    <row r="117" spans="1:6" x14ac:dyDescent="0.3">
      <c r="A117">
        <v>2023</v>
      </c>
      <c r="B117">
        <v>2</v>
      </c>
      <c r="C117" t="s">
        <v>37</v>
      </c>
      <c r="D117" t="s">
        <v>48</v>
      </c>
      <c r="E117" t="s">
        <v>51</v>
      </c>
      <c r="F117">
        <v>98941.81</v>
      </c>
    </row>
    <row r="118" spans="1:6" x14ac:dyDescent="0.3">
      <c r="A118">
        <v>2023</v>
      </c>
      <c r="B118">
        <v>2</v>
      </c>
      <c r="C118" t="s">
        <v>40</v>
      </c>
      <c r="D118" t="s">
        <v>48</v>
      </c>
      <c r="E118" t="s">
        <v>51</v>
      </c>
      <c r="F118">
        <v>20433.810000000001</v>
      </c>
    </row>
    <row r="119" spans="1:6" x14ac:dyDescent="0.3">
      <c r="A119">
        <v>2023</v>
      </c>
      <c r="B119">
        <v>2</v>
      </c>
      <c r="C119" t="s">
        <v>41</v>
      </c>
      <c r="D119" t="s">
        <v>48</v>
      </c>
      <c r="E119" t="s">
        <v>51</v>
      </c>
      <c r="F119">
        <v>14935.71</v>
      </c>
    </row>
    <row r="120" spans="1:6" x14ac:dyDescent="0.3">
      <c r="A120">
        <v>2023</v>
      </c>
      <c r="B120">
        <v>2</v>
      </c>
      <c r="C120" t="s">
        <v>42</v>
      </c>
      <c r="D120" t="s">
        <v>48</v>
      </c>
      <c r="E120" t="s">
        <v>51</v>
      </c>
      <c r="F120">
        <v>112266.62</v>
      </c>
    </row>
    <row r="121" spans="1:6" x14ac:dyDescent="0.3">
      <c r="A121">
        <v>2023</v>
      </c>
      <c r="B121">
        <v>2</v>
      </c>
      <c r="C121" t="s">
        <v>43</v>
      </c>
      <c r="D121" t="s">
        <v>48</v>
      </c>
      <c r="E121" t="s">
        <v>51</v>
      </c>
      <c r="F121">
        <v>45818.42</v>
      </c>
    </row>
    <row r="122" spans="1:6" x14ac:dyDescent="0.3">
      <c r="A122">
        <v>2023</v>
      </c>
      <c r="B122">
        <v>2</v>
      </c>
      <c r="C122" t="s">
        <v>44</v>
      </c>
      <c r="D122" t="s">
        <v>48</v>
      </c>
      <c r="E122" t="s">
        <v>51</v>
      </c>
      <c r="F122">
        <v>15949.36</v>
      </c>
    </row>
    <row r="123" spans="1:6" x14ac:dyDescent="0.3">
      <c r="A123">
        <v>2023</v>
      </c>
      <c r="B123">
        <v>2</v>
      </c>
      <c r="C123" t="s">
        <v>45</v>
      </c>
      <c r="D123" t="s">
        <v>48</v>
      </c>
      <c r="E123" t="s">
        <v>51</v>
      </c>
      <c r="F123">
        <v>22907.34</v>
      </c>
    </row>
    <row r="124" spans="1:6" x14ac:dyDescent="0.3">
      <c r="A124">
        <v>2023</v>
      </c>
      <c r="B124">
        <v>2</v>
      </c>
      <c r="C124" t="s">
        <v>37</v>
      </c>
      <c r="D124" t="s">
        <v>48</v>
      </c>
      <c r="E124" t="s">
        <v>52</v>
      </c>
      <c r="F124">
        <v>30176.58</v>
      </c>
    </row>
    <row r="125" spans="1:6" x14ac:dyDescent="0.3">
      <c r="A125">
        <v>2023</v>
      </c>
      <c r="B125">
        <v>2</v>
      </c>
      <c r="C125" t="s">
        <v>40</v>
      </c>
      <c r="D125" t="s">
        <v>48</v>
      </c>
      <c r="E125" t="s">
        <v>52</v>
      </c>
      <c r="F125">
        <v>60789.279999999999</v>
      </c>
    </row>
    <row r="126" spans="1:6" x14ac:dyDescent="0.3">
      <c r="A126">
        <v>2023</v>
      </c>
      <c r="B126">
        <v>2</v>
      </c>
      <c r="C126" t="s">
        <v>41</v>
      </c>
      <c r="D126" t="s">
        <v>48</v>
      </c>
      <c r="E126" t="s">
        <v>52</v>
      </c>
      <c r="F126">
        <v>23101.61</v>
      </c>
    </row>
    <row r="127" spans="1:6" x14ac:dyDescent="0.3">
      <c r="A127">
        <v>2023</v>
      </c>
      <c r="B127">
        <v>2</v>
      </c>
      <c r="C127" t="s">
        <v>42</v>
      </c>
      <c r="D127" t="s">
        <v>48</v>
      </c>
      <c r="E127" t="s">
        <v>52</v>
      </c>
      <c r="F127">
        <v>105477.44</v>
      </c>
    </row>
    <row r="128" spans="1:6" x14ac:dyDescent="0.3">
      <c r="A128">
        <v>2023</v>
      </c>
      <c r="B128">
        <v>2</v>
      </c>
      <c r="C128" t="s">
        <v>43</v>
      </c>
      <c r="D128" t="s">
        <v>48</v>
      </c>
      <c r="E128" t="s">
        <v>52</v>
      </c>
      <c r="F128">
        <v>119323.19</v>
      </c>
    </row>
    <row r="129" spans="1:6" x14ac:dyDescent="0.3">
      <c r="A129">
        <v>2023</v>
      </c>
      <c r="B129">
        <v>2</v>
      </c>
      <c r="C129" t="s">
        <v>44</v>
      </c>
      <c r="D129" t="s">
        <v>48</v>
      </c>
      <c r="E129" t="s">
        <v>52</v>
      </c>
      <c r="F129">
        <v>81387.100000000006</v>
      </c>
    </row>
    <row r="130" spans="1:6" x14ac:dyDescent="0.3">
      <c r="A130">
        <v>2023</v>
      </c>
      <c r="B130">
        <v>2</v>
      </c>
      <c r="C130" t="s">
        <v>45</v>
      </c>
      <c r="D130" t="s">
        <v>48</v>
      </c>
      <c r="E130" t="s">
        <v>52</v>
      </c>
      <c r="F130">
        <v>98474.16</v>
      </c>
    </row>
    <row r="131" spans="1:6" x14ac:dyDescent="0.3">
      <c r="A131">
        <v>2023</v>
      </c>
      <c r="B131">
        <v>2</v>
      </c>
      <c r="C131" t="s">
        <v>37</v>
      </c>
      <c r="D131" t="s">
        <v>48</v>
      </c>
      <c r="E131" t="s">
        <v>53</v>
      </c>
      <c r="F131">
        <v>50832.53</v>
      </c>
    </row>
    <row r="132" spans="1:6" x14ac:dyDescent="0.3">
      <c r="A132">
        <v>2023</v>
      </c>
      <c r="B132">
        <v>2</v>
      </c>
      <c r="C132" t="s">
        <v>40</v>
      </c>
      <c r="D132" t="s">
        <v>48</v>
      </c>
      <c r="E132" t="s">
        <v>53</v>
      </c>
      <c r="F132">
        <v>84822.01</v>
      </c>
    </row>
    <row r="133" spans="1:6" x14ac:dyDescent="0.3">
      <c r="A133">
        <v>2023</v>
      </c>
      <c r="B133">
        <v>2</v>
      </c>
      <c r="C133" t="s">
        <v>41</v>
      </c>
      <c r="D133" t="s">
        <v>48</v>
      </c>
      <c r="E133" t="s">
        <v>53</v>
      </c>
      <c r="F133">
        <v>10987.97</v>
      </c>
    </row>
    <row r="134" spans="1:6" x14ac:dyDescent="0.3">
      <c r="A134">
        <v>2023</v>
      </c>
      <c r="B134">
        <v>2</v>
      </c>
      <c r="C134" t="s">
        <v>42</v>
      </c>
      <c r="D134" t="s">
        <v>48</v>
      </c>
      <c r="E134" t="s">
        <v>53</v>
      </c>
      <c r="F134">
        <v>31590.55</v>
      </c>
    </row>
    <row r="135" spans="1:6" x14ac:dyDescent="0.3">
      <c r="A135">
        <v>2023</v>
      </c>
      <c r="B135">
        <v>2</v>
      </c>
      <c r="C135" t="s">
        <v>43</v>
      </c>
      <c r="D135" t="s">
        <v>48</v>
      </c>
      <c r="E135" t="s">
        <v>53</v>
      </c>
      <c r="F135">
        <v>52895.64</v>
      </c>
    </row>
    <row r="136" spans="1:6" x14ac:dyDescent="0.3">
      <c r="A136">
        <v>2023</v>
      </c>
      <c r="B136">
        <v>2</v>
      </c>
      <c r="C136" t="s">
        <v>44</v>
      </c>
      <c r="D136" t="s">
        <v>48</v>
      </c>
      <c r="E136" t="s">
        <v>53</v>
      </c>
      <c r="F136">
        <v>50891.68</v>
      </c>
    </row>
    <row r="137" spans="1:6" x14ac:dyDescent="0.3">
      <c r="A137">
        <v>2023</v>
      </c>
      <c r="B137">
        <v>2</v>
      </c>
      <c r="C137" t="s">
        <v>45</v>
      </c>
      <c r="D137" t="s">
        <v>48</v>
      </c>
      <c r="E137" t="s">
        <v>53</v>
      </c>
      <c r="F137">
        <v>53950.559999999998</v>
      </c>
    </row>
    <row r="138" spans="1:6" x14ac:dyDescent="0.3">
      <c r="A138">
        <v>2023</v>
      </c>
      <c r="B138">
        <v>2</v>
      </c>
      <c r="C138" t="s">
        <v>37</v>
      </c>
      <c r="D138" t="s">
        <v>48</v>
      </c>
      <c r="E138" t="s">
        <v>54</v>
      </c>
      <c r="F138">
        <v>104051.43</v>
      </c>
    </row>
    <row r="139" spans="1:6" x14ac:dyDescent="0.3">
      <c r="A139">
        <v>2023</v>
      </c>
      <c r="B139">
        <v>2</v>
      </c>
      <c r="C139" t="s">
        <v>40</v>
      </c>
      <c r="D139" t="s">
        <v>48</v>
      </c>
      <c r="E139" t="s">
        <v>54</v>
      </c>
      <c r="F139">
        <v>107135.08</v>
      </c>
    </row>
    <row r="140" spans="1:6" x14ac:dyDescent="0.3">
      <c r="A140">
        <v>2023</v>
      </c>
      <c r="B140">
        <v>2</v>
      </c>
      <c r="C140" t="s">
        <v>41</v>
      </c>
      <c r="D140" t="s">
        <v>48</v>
      </c>
      <c r="E140" t="s">
        <v>54</v>
      </c>
      <c r="F140">
        <v>63820.67</v>
      </c>
    </row>
    <row r="141" spans="1:6" x14ac:dyDescent="0.3">
      <c r="A141">
        <v>2023</v>
      </c>
      <c r="B141">
        <v>2</v>
      </c>
      <c r="C141" t="s">
        <v>42</v>
      </c>
      <c r="D141" t="s">
        <v>48</v>
      </c>
      <c r="E141" t="s">
        <v>54</v>
      </c>
      <c r="F141">
        <v>48639.61</v>
      </c>
    </row>
    <row r="142" spans="1:6" x14ac:dyDescent="0.3">
      <c r="A142">
        <v>2023</v>
      </c>
      <c r="B142">
        <v>2</v>
      </c>
      <c r="C142" t="s">
        <v>43</v>
      </c>
      <c r="D142" t="s">
        <v>48</v>
      </c>
      <c r="E142" t="s">
        <v>54</v>
      </c>
      <c r="F142">
        <v>57082.49</v>
      </c>
    </row>
    <row r="143" spans="1:6" x14ac:dyDescent="0.3">
      <c r="A143">
        <v>2023</v>
      </c>
      <c r="B143">
        <v>2</v>
      </c>
      <c r="C143" t="s">
        <v>44</v>
      </c>
      <c r="D143" t="s">
        <v>48</v>
      </c>
      <c r="E143" t="s">
        <v>54</v>
      </c>
      <c r="F143">
        <v>56565.81</v>
      </c>
    </row>
    <row r="144" spans="1:6" x14ac:dyDescent="0.3">
      <c r="A144">
        <v>2023</v>
      </c>
      <c r="B144">
        <v>2</v>
      </c>
      <c r="C144" t="s">
        <v>45</v>
      </c>
      <c r="D144" t="s">
        <v>48</v>
      </c>
      <c r="E144" t="s">
        <v>54</v>
      </c>
      <c r="F144">
        <v>58418.36</v>
      </c>
    </row>
    <row r="145" spans="1:6" x14ac:dyDescent="0.3">
      <c r="A145">
        <v>2023</v>
      </c>
      <c r="B145">
        <v>2</v>
      </c>
      <c r="C145" t="s">
        <v>37</v>
      </c>
      <c r="D145" t="s">
        <v>48</v>
      </c>
      <c r="E145" t="s">
        <v>55</v>
      </c>
      <c r="F145">
        <v>93314.13</v>
      </c>
    </row>
    <row r="146" spans="1:6" x14ac:dyDescent="0.3">
      <c r="A146">
        <v>2023</v>
      </c>
      <c r="B146">
        <v>2</v>
      </c>
      <c r="C146" t="s">
        <v>40</v>
      </c>
      <c r="D146" t="s">
        <v>48</v>
      </c>
      <c r="E146" t="s">
        <v>55</v>
      </c>
      <c r="F146">
        <v>22076.61</v>
      </c>
    </row>
    <row r="147" spans="1:6" x14ac:dyDescent="0.3">
      <c r="A147">
        <v>2023</v>
      </c>
      <c r="B147">
        <v>2</v>
      </c>
      <c r="C147" t="s">
        <v>41</v>
      </c>
      <c r="D147" t="s">
        <v>48</v>
      </c>
      <c r="E147" t="s">
        <v>55</v>
      </c>
      <c r="F147">
        <v>54490.87</v>
      </c>
    </row>
    <row r="148" spans="1:6" x14ac:dyDescent="0.3">
      <c r="A148">
        <v>2023</v>
      </c>
      <c r="B148">
        <v>2</v>
      </c>
      <c r="C148" t="s">
        <v>42</v>
      </c>
      <c r="D148" t="s">
        <v>48</v>
      </c>
      <c r="E148" t="s">
        <v>55</v>
      </c>
      <c r="F148">
        <v>41322.31</v>
      </c>
    </row>
    <row r="149" spans="1:6" x14ac:dyDescent="0.3">
      <c r="A149">
        <v>2023</v>
      </c>
      <c r="B149">
        <v>2</v>
      </c>
      <c r="C149" t="s">
        <v>43</v>
      </c>
      <c r="D149" t="s">
        <v>48</v>
      </c>
      <c r="E149" t="s">
        <v>55</v>
      </c>
      <c r="F149">
        <v>101149.26</v>
      </c>
    </row>
    <row r="150" spans="1:6" x14ac:dyDescent="0.3">
      <c r="A150">
        <v>2023</v>
      </c>
      <c r="B150">
        <v>2</v>
      </c>
      <c r="C150" t="s">
        <v>44</v>
      </c>
      <c r="D150" t="s">
        <v>48</v>
      </c>
      <c r="E150" t="s">
        <v>55</v>
      </c>
      <c r="F150">
        <v>27484.9</v>
      </c>
    </row>
    <row r="151" spans="1:6" x14ac:dyDescent="0.3">
      <c r="A151">
        <v>2023</v>
      </c>
      <c r="B151">
        <v>2</v>
      </c>
      <c r="C151" t="s">
        <v>45</v>
      </c>
      <c r="D151" t="s">
        <v>48</v>
      </c>
      <c r="E151" t="s">
        <v>55</v>
      </c>
      <c r="F151">
        <v>98560.37</v>
      </c>
    </row>
    <row r="152" spans="1:6" x14ac:dyDescent="0.3">
      <c r="A152">
        <v>2023</v>
      </c>
      <c r="B152">
        <v>2</v>
      </c>
      <c r="C152" t="s">
        <v>37</v>
      </c>
      <c r="D152" t="s">
        <v>48</v>
      </c>
      <c r="E152" t="s">
        <v>56</v>
      </c>
      <c r="F152">
        <v>93657.9</v>
      </c>
    </row>
    <row r="153" spans="1:6" x14ac:dyDescent="0.3">
      <c r="A153">
        <v>2023</v>
      </c>
      <c r="B153">
        <v>2</v>
      </c>
      <c r="C153" t="s">
        <v>40</v>
      </c>
      <c r="D153" t="s">
        <v>48</v>
      </c>
      <c r="E153" t="s">
        <v>56</v>
      </c>
      <c r="F153">
        <v>80906.86</v>
      </c>
    </row>
    <row r="154" spans="1:6" x14ac:dyDescent="0.3">
      <c r="A154">
        <v>2023</v>
      </c>
      <c r="B154">
        <v>2</v>
      </c>
      <c r="C154" t="s">
        <v>41</v>
      </c>
      <c r="D154" t="s">
        <v>48</v>
      </c>
      <c r="E154" t="s">
        <v>56</v>
      </c>
      <c r="F154">
        <v>57004.74</v>
      </c>
    </row>
    <row r="155" spans="1:6" x14ac:dyDescent="0.3">
      <c r="A155">
        <v>2023</v>
      </c>
      <c r="B155">
        <v>2</v>
      </c>
      <c r="C155" t="s">
        <v>42</v>
      </c>
      <c r="D155" t="s">
        <v>48</v>
      </c>
      <c r="E155" t="s">
        <v>56</v>
      </c>
      <c r="F155">
        <v>78221.02</v>
      </c>
    </row>
    <row r="156" spans="1:6" x14ac:dyDescent="0.3">
      <c r="A156">
        <v>2023</v>
      </c>
      <c r="B156">
        <v>2</v>
      </c>
      <c r="C156" t="s">
        <v>43</v>
      </c>
      <c r="D156" t="s">
        <v>48</v>
      </c>
      <c r="E156" t="s">
        <v>56</v>
      </c>
      <c r="F156">
        <v>70590.850000000006</v>
      </c>
    </row>
    <row r="157" spans="1:6" x14ac:dyDescent="0.3">
      <c r="A157">
        <v>2023</v>
      </c>
      <c r="B157">
        <v>2</v>
      </c>
      <c r="C157" t="s">
        <v>44</v>
      </c>
      <c r="D157" t="s">
        <v>48</v>
      </c>
      <c r="E157" t="s">
        <v>56</v>
      </c>
      <c r="F157">
        <v>76775.69</v>
      </c>
    </row>
    <row r="158" spans="1:6" x14ac:dyDescent="0.3">
      <c r="A158">
        <v>2023</v>
      </c>
      <c r="B158">
        <v>2</v>
      </c>
      <c r="C158" t="s">
        <v>45</v>
      </c>
      <c r="D158" t="s">
        <v>48</v>
      </c>
      <c r="E158" t="s">
        <v>56</v>
      </c>
      <c r="F158">
        <v>32932.839999999997</v>
      </c>
    </row>
    <row r="159" spans="1:6" x14ac:dyDescent="0.3">
      <c r="A159">
        <v>2023</v>
      </c>
      <c r="B159">
        <v>2</v>
      </c>
      <c r="C159" t="s">
        <v>37</v>
      </c>
      <c r="D159" t="s">
        <v>57</v>
      </c>
      <c r="E159" t="s">
        <v>58</v>
      </c>
      <c r="F159">
        <v>136537.23000000001</v>
      </c>
    </row>
    <row r="160" spans="1:6" x14ac:dyDescent="0.3">
      <c r="A160">
        <v>2023</v>
      </c>
      <c r="B160">
        <v>2</v>
      </c>
      <c r="C160" t="s">
        <v>37</v>
      </c>
      <c r="D160" t="s">
        <v>57</v>
      </c>
      <c r="E160" t="s">
        <v>59</v>
      </c>
      <c r="F160">
        <v>101800.44</v>
      </c>
    </row>
    <row r="161" spans="1:6" x14ac:dyDescent="0.3">
      <c r="A161">
        <v>2023</v>
      </c>
      <c r="B161">
        <v>2</v>
      </c>
      <c r="C161" t="s">
        <v>37</v>
      </c>
      <c r="D161" t="s">
        <v>57</v>
      </c>
      <c r="E161" t="s">
        <v>60</v>
      </c>
      <c r="F161">
        <v>40343.56</v>
      </c>
    </row>
    <row r="162" spans="1:6" x14ac:dyDescent="0.3">
      <c r="A162">
        <v>2023</v>
      </c>
      <c r="B162">
        <v>3</v>
      </c>
      <c r="C162" t="s">
        <v>37</v>
      </c>
      <c r="D162" t="s">
        <v>38</v>
      </c>
      <c r="E162" t="s">
        <v>39</v>
      </c>
      <c r="F162">
        <v>114210.78</v>
      </c>
    </row>
    <row r="163" spans="1:6" x14ac:dyDescent="0.3">
      <c r="A163">
        <v>2023</v>
      </c>
      <c r="B163">
        <v>3</v>
      </c>
      <c r="C163" t="s">
        <v>40</v>
      </c>
      <c r="D163" t="s">
        <v>38</v>
      </c>
      <c r="E163" t="s">
        <v>39</v>
      </c>
      <c r="F163">
        <v>76000.34</v>
      </c>
    </row>
    <row r="164" spans="1:6" x14ac:dyDescent="0.3">
      <c r="A164">
        <v>2023</v>
      </c>
      <c r="B164">
        <v>3</v>
      </c>
      <c r="C164" t="s">
        <v>41</v>
      </c>
      <c r="D164" t="s">
        <v>38</v>
      </c>
      <c r="E164" t="s">
        <v>39</v>
      </c>
      <c r="F164">
        <v>20831.330000000002</v>
      </c>
    </row>
    <row r="165" spans="1:6" x14ac:dyDescent="0.3">
      <c r="A165">
        <v>2023</v>
      </c>
      <c r="B165">
        <v>3</v>
      </c>
      <c r="C165" t="s">
        <v>42</v>
      </c>
      <c r="D165" t="s">
        <v>38</v>
      </c>
      <c r="E165" t="s">
        <v>39</v>
      </c>
      <c r="F165">
        <v>84272.78</v>
      </c>
    </row>
    <row r="166" spans="1:6" x14ac:dyDescent="0.3">
      <c r="A166">
        <v>2023</v>
      </c>
      <c r="B166">
        <v>3</v>
      </c>
      <c r="C166" t="s">
        <v>43</v>
      </c>
      <c r="D166" t="s">
        <v>38</v>
      </c>
      <c r="E166" t="s">
        <v>39</v>
      </c>
      <c r="F166">
        <v>76146.78</v>
      </c>
    </row>
    <row r="167" spans="1:6" x14ac:dyDescent="0.3">
      <c r="A167">
        <v>2023</v>
      </c>
      <c r="B167">
        <v>3</v>
      </c>
      <c r="C167" t="s">
        <v>44</v>
      </c>
      <c r="D167" t="s">
        <v>38</v>
      </c>
      <c r="E167" t="s">
        <v>39</v>
      </c>
      <c r="F167">
        <v>33850.76</v>
      </c>
    </row>
    <row r="168" spans="1:6" x14ac:dyDescent="0.3">
      <c r="A168">
        <v>2023</v>
      </c>
      <c r="B168">
        <v>3</v>
      </c>
      <c r="C168" t="s">
        <v>45</v>
      </c>
      <c r="D168" t="s">
        <v>38</v>
      </c>
      <c r="E168" t="s">
        <v>39</v>
      </c>
      <c r="F168">
        <v>56900.87</v>
      </c>
    </row>
    <row r="169" spans="1:6" x14ac:dyDescent="0.3">
      <c r="A169">
        <v>2023</v>
      </c>
      <c r="B169">
        <v>3</v>
      </c>
      <c r="C169" t="s">
        <v>37</v>
      </c>
      <c r="D169" t="s">
        <v>38</v>
      </c>
      <c r="E169" t="s">
        <v>46</v>
      </c>
      <c r="F169">
        <v>14288.02</v>
      </c>
    </row>
    <row r="170" spans="1:6" x14ac:dyDescent="0.3">
      <c r="A170">
        <v>2023</v>
      </c>
      <c r="B170">
        <v>3</v>
      </c>
      <c r="C170" t="s">
        <v>40</v>
      </c>
      <c r="D170" t="s">
        <v>38</v>
      </c>
      <c r="E170" t="s">
        <v>46</v>
      </c>
      <c r="F170">
        <v>74560.41</v>
      </c>
    </row>
    <row r="171" spans="1:6" x14ac:dyDescent="0.3">
      <c r="A171">
        <v>2023</v>
      </c>
      <c r="B171">
        <v>3</v>
      </c>
      <c r="C171" t="s">
        <v>41</v>
      </c>
      <c r="D171" t="s">
        <v>38</v>
      </c>
      <c r="E171" t="s">
        <v>46</v>
      </c>
      <c r="F171">
        <v>105790.5</v>
      </c>
    </row>
    <row r="172" spans="1:6" x14ac:dyDescent="0.3">
      <c r="A172">
        <v>2023</v>
      </c>
      <c r="B172">
        <v>3</v>
      </c>
      <c r="C172" t="s">
        <v>42</v>
      </c>
      <c r="D172" t="s">
        <v>38</v>
      </c>
      <c r="E172" t="s">
        <v>46</v>
      </c>
      <c r="F172">
        <v>100701.29</v>
      </c>
    </row>
    <row r="173" spans="1:6" x14ac:dyDescent="0.3">
      <c r="A173">
        <v>2023</v>
      </c>
      <c r="B173">
        <v>3</v>
      </c>
      <c r="C173" t="s">
        <v>43</v>
      </c>
      <c r="D173" t="s">
        <v>38</v>
      </c>
      <c r="E173" t="s">
        <v>46</v>
      </c>
      <c r="F173">
        <v>112757.12</v>
      </c>
    </row>
    <row r="174" spans="1:6" x14ac:dyDescent="0.3">
      <c r="A174">
        <v>2023</v>
      </c>
      <c r="B174">
        <v>3</v>
      </c>
      <c r="C174" t="s">
        <v>44</v>
      </c>
      <c r="D174" t="s">
        <v>38</v>
      </c>
      <c r="E174" t="s">
        <v>46</v>
      </c>
      <c r="F174">
        <v>103667.85</v>
      </c>
    </row>
    <row r="175" spans="1:6" x14ac:dyDescent="0.3">
      <c r="A175">
        <v>2023</v>
      </c>
      <c r="B175">
        <v>3</v>
      </c>
      <c r="C175" t="s">
        <v>45</v>
      </c>
      <c r="D175" t="s">
        <v>38</v>
      </c>
      <c r="E175" t="s">
        <v>46</v>
      </c>
      <c r="F175">
        <v>72000.38</v>
      </c>
    </row>
    <row r="176" spans="1:6" x14ac:dyDescent="0.3">
      <c r="A176">
        <v>2023</v>
      </c>
      <c r="B176">
        <v>3</v>
      </c>
      <c r="C176" t="s">
        <v>37</v>
      </c>
      <c r="D176" t="s">
        <v>38</v>
      </c>
      <c r="E176" t="s">
        <v>47</v>
      </c>
      <c r="F176">
        <v>24082.51</v>
      </c>
    </row>
    <row r="177" spans="1:6" x14ac:dyDescent="0.3">
      <c r="A177">
        <v>2023</v>
      </c>
      <c r="B177">
        <v>3</v>
      </c>
      <c r="C177" t="s">
        <v>40</v>
      </c>
      <c r="D177" t="s">
        <v>38</v>
      </c>
      <c r="E177" t="s">
        <v>47</v>
      </c>
      <c r="F177">
        <v>58781.15</v>
      </c>
    </row>
    <row r="178" spans="1:6" x14ac:dyDescent="0.3">
      <c r="A178">
        <v>2023</v>
      </c>
      <c r="B178">
        <v>3</v>
      </c>
      <c r="C178" t="s">
        <v>41</v>
      </c>
      <c r="D178" t="s">
        <v>38</v>
      </c>
      <c r="E178" t="s">
        <v>47</v>
      </c>
      <c r="F178">
        <v>74556.97</v>
      </c>
    </row>
    <row r="179" spans="1:6" x14ac:dyDescent="0.3">
      <c r="A179">
        <v>2023</v>
      </c>
      <c r="B179">
        <v>3</v>
      </c>
      <c r="C179" t="s">
        <v>42</v>
      </c>
      <c r="D179" t="s">
        <v>38</v>
      </c>
      <c r="E179" t="s">
        <v>47</v>
      </c>
      <c r="F179">
        <v>65198.879999999997</v>
      </c>
    </row>
    <row r="180" spans="1:6" x14ac:dyDescent="0.3">
      <c r="A180">
        <v>2023</v>
      </c>
      <c r="B180">
        <v>3</v>
      </c>
      <c r="C180" t="s">
        <v>43</v>
      </c>
      <c r="D180" t="s">
        <v>38</v>
      </c>
      <c r="E180" t="s">
        <v>47</v>
      </c>
      <c r="F180">
        <v>49722.31</v>
      </c>
    </row>
    <row r="181" spans="1:6" x14ac:dyDescent="0.3">
      <c r="A181">
        <v>2023</v>
      </c>
      <c r="B181">
        <v>3</v>
      </c>
      <c r="C181" t="s">
        <v>44</v>
      </c>
      <c r="D181" t="s">
        <v>38</v>
      </c>
      <c r="E181" t="s">
        <v>47</v>
      </c>
      <c r="F181">
        <v>106732.24</v>
      </c>
    </row>
    <row r="182" spans="1:6" x14ac:dyDescent="0.3">
      <c r="A182">
        <v>2023</v>
      </c>
      <c r="B182">
        <v>3</v>
      </c>
      <c r="C182" t="s">
        <v>45</v>
      </c>
      <c r="D182" t="s">
        <v>38</v>
      </c>
      <c r="E182" t="s">
        <v>47</v>
      </c>
      <c r="F182">
        <v>102999.71</v>
      </c>
    </row>
    <row r="183" spans="1:6" x14ac:dyDescent="0.3">
      <c r="A183">
        <v>2023</v>
      </c>
      <c r="B183">
        <v>3</v>
      </c>
      <c r="C183" t="s">
        <v>37</v>
      </c>
      <c r="D183" t="s">
        <v>48</v>
      </c>
      <c r="E183" t="s">
        <v>49</v>
      </c>
      <c r="F183">
        <v>33926.6</v>
      </c>
    </row>
    <row r="184" spans="1:6" x14ac:dyDescent="0.3">
      <c r="A184">
        <v>2023</v>
      </c>
      <c r="B184">
        <v>3</v>
      </c>
      <c r="C184" t="s">
        <v>40</v>
      </c>
      <c r="D184" t="s">
        <v>48</v>
      </c>
      <c r="E184" t="s">
        <v>49</v>
      </c>
      <c r="F184">
        <v>112497.74</v>
      </c>
    </row>
    <row r="185" spans="1:6" x14ac:dyDescent="0.3">
      <c r="A185">
        <v>2023</v>
      </c>
      <c r="B185">
        <v>3</v>
      </c>
      <c r="C185" t="s">
        <v>41</v>
      </c>
      <c r="D185" t="s">
        <v>48</v>
      </c>
      <c r="E185" t="s">
        <v>49</v>
      </c>
      <c r="F185">
        <v>102946.27</v>
      </c>
    </row>
    <row r="186" spans="1:6" x14ac:dyDescent="0.3">
      <c r="A186">
        <v>2023</v>
      </c>
      <c r="B186">
        <v>3</v>
      </c>
      <c r="C186" t="s">
        <v>42</v>
      </c>
      <c r="D186" t="s">
        <v>48</v>
      </c>
      <c r="E186" t="s">
        <v>49</v>
      </c>
      <c r="F186">
        <v>103574.11</v>
      </c>
    </row>
    <row r="187" spans="1:6" x14ac:dyDescent="0.3">
      <c r="A187">
        <v>2023</v>
      </c>
      <c r="B187">
        <v>3</v>
      </c>
      <c r="C187" t="s">
        <v>43</v>
      </c>
      <c r="D187" t="s">
        <v>48</v>
      </c>
      <c r="E187" t="s">
        <v>49</v>
      </c>
      <c r="F187">
        <v>106126.78</v>
      </c>
    </row>
    <row r="188" spans="1:6" x14ac:dyDescent="0.3">
      <c r="A188">
        <v>2023</v>
      </c>
      <c r="B188">
        <v>3</v>
      </c>
      <c r="C188" t="s">
        <v>44</v>
      </c>
      <c r="D188" t="s">
        <v>48</v>
      </c>
      <c r="E188" t="s">
        <v>49</v>
      </c>
      <c r="F188">
        <v>108602.7</v>
      </c>
    </row>
    <row r="189" spans="1:6" x14ac:dyDescent="0.3">
      <c r="A189">
        <v>2023</v>
      </c>
      <c r="B189">
        <v>3</v>
      </c>
      <c r="C189" t="s">
        <v>45</v>
      </c>
      <c r="D189" t="s">
        <v>48</v>
      </c>
      <c r="E189" t="s">
        <v>49</v>
      </c>
      <c r="F189">
        <v>110239.32</v>
      </c>
    </row>
    <row r="190" spans="1:6" x14ac:dyDescent="0.3">
      <c r="A190">
        <v>2023</v>
      </c>
      <c r="B190">
        <v>3</v>
      </c>
      <c r="C190" t="s">
        <v>37</v>
      </c>
      <c r="D190" t="s">
        <v>48</v>
      </c>
      <c r="E190" t="s">
        <v>50</v>
      </c>
      <c r="F190">
        <v>23894.67</v>
      </c>
    </row>
    <row r="191" spans="1:6" x14ac:dyDescent="0.3">
      <c r="A191">
        <v>2023</v>
      </c>
      <c r="B191">
        <v>3</v>
      </c>
      <c r="C191" t="s">
        <v>40</v>
      </c>
      <c r="D191" t="s">
        <v>48</v>
      </c>
      <c r="E191" t="s">
        <v>50</v>
      </c>
      <c r="F191">
        <v>88835.91</v>
      </c>
    </row>
    <row r="192" spans="1:6" x14ac:dyDescent="0.3">
      <c r="A192">
        <v>2023</v>
      </c>
      <c r="B192">
        <v>3</v>
      </c>
      <c r="C192" t="s">
        <v>41</v>
      </c>
      <c r="D192" t="s">
        <v>48</v>
      </c>
      <c r="E192" t="s">
        <v>50</v>
      </c>
      <c r="F192">
        <v>68065.320000000007</v>
      </c>
    </row>
    <row r="193" spans="1:6" x14ac:dyDescent="0.3">
      <c r="A193">
        <v>2023</v>
      </c>
      <c r="B193">
        <v>3</v>
      </c>
      <c r="C193" t="s">
        <v>42</v>
      </c>
      <c r="D193" t="s">
        <v>48</v>
      </c>
      <c r="E193" t="s">
        <v>50</v>
      </c>
      <c r="F193">
        <v>91339.61</v>
      </c>
    </row>
    <row r="194" spans="1:6" x14ac:dyDescent="0.3">
      <c r="A194">
        <v>2023</v>
      </c>
      <c r="B194">
        <v>3</v>
      </c>
      <c r="C194" t="s">
        <v>43</v>
      </c>
      <c r="D194" t="s">
        <v>48</v>
      </c>
      <c r="E194" t="s">
        <v>50</v>
      </c>
      <c r="F194">
        <v>104468.32</v>
      </c>
    </row>
    <row r="195" spans="1:6" x14ac:dyDescent="0.3">
      <c r="A195">
        <v>2023</v>
      </c>
      <c r="B195">
        <v>3</v>
      </c>
      <c r="C195" t="s">
        <v>44</v>
      </c>
      <c r="D195" t="s">
        <v>48</v>
      </c>
      <c r="E195" t="s">
        <v>50</v>
      </c>
      <c r="F195">
        <v>75574.86</v>
      </c>
    </row>
    <row r="196" spans="1:6" x14ac:dyDescent="0.3">
      <c r="A196">
        <v>2023</v>
      </c>
      <c r="B196">
        <v>3</v>
      </c>
      <c r="C196" t="s">
        <v>45</v>
      </c>
      <c r="D196" t="s">
        <v>48</v>
      </c>
      <c r="E196" t="s">
        <v>50</v>
      </c>
      <c r="F196">
        <v>26944.18</v>
      </c>
    </row>
    <row r="197" spans="1:6" x14ac:dyDescent="0.3">
      <c r="A197">
        <v>2023</v>
      </c>
      <c r="B197">
        <v>3</v>
      </c>
      <c r="C197" t="s">
        <v>37</v>
      </c>
      <c r="D197" t="s">
        <v>48</v>
      </c>
      <c r="E197" t="s">
        <v>51</v>
      </c>
      <c r="F197">
        <v>95993.84</v>
      </c>
    </row>
    <row r="198" spans="1:6" x14ac:dyDescent="0.3">
      <c r="A198">
        <v>2023</v>
      </c>
      <c r="B198">
        <v>3</v>
      </c>
      <c r="C198" t="s">
        <v>40</v>
      </c>
      <c r="D198" t="s">
        <v>48</v>
      </c>
      <c r="E198" t="s">
        <v>51</v>
      </c>
      <c r="F198">
        <v>21547.58</v>
      </c>
    </row>
    <row r="199" spans="1:6" x14ac:dyDescent="0.3">
      <c r="A199">
        <v>2023</v>
      </c>
      <c r="B199">
        <v>3</v>
      </c>
      <c r="C199" t="s">
        <v>41</v>
      </c>
      <c r="D199" t="s">
        <v>48</v>
      </c>
      <c r="E199" t="s">
        <v>51</v>
      </c>
      <c r="F199">
        <v>47229.26</v>
      </c>
    </row>
    <row r="200" spans="1:6" x14ac:dyDescent="0.3">
      <c r="A200">
        <v>2023</v>
      </c>
      <c r="B200">
        <v>3</v>
      </c>
      <c r="C200" t="s">
        <v>42</v>
      </c>
      <c r="D200" t="s">
        <v>48</v>
      </c>
      <c r="E200" t="s">
        <v>51</v>
      </c>
      <c r="F200">
        <v>66146.31</v>
      </c>
    </row>
    <row r="201" spans="1:6" x14ac:dyDescent="0.3">
      <c r="A201">
        <v>2023</v>
      </c>
      <c r="B201">
        <v>3</v>
      </c>
      <c r="C201" t="s">
        <v>43</v>
      </c>
      <c r="D201" t="s">
        <v>48</v>
      </c>
      <c r="E201" t="s">
        <v>51</v>
      </c>
      <c r="F201">
        <v>59130.04</v>
      </c>
    </row>
    <row r="202" spans="1:6" x14ac:dyDescent="0.3">
      <c r="A202">
        <v>2023</v>
      </c>
      <c r="B202">
        <v>3</v>
      </c>
      <c r="C202" t="s">
        <v>44</v>
      </c>
      <c r="D202" t="s">
        <v>48</v>
      </c>
      <c r="E202" t="s">
        <v>51</v>
      </c>
      <c r="F202">
        <v>41352.5</v>
      </c>
    </row>
    <row r="203" spans="1:6" x14ac:dyDescent="0.3">
      <c r="A203">
        <v>2023</v>
      </c>
      <c r="B203">
        <v>3</v>
      </c>
      <c r="C203" t="s">
        <v>45</v>
      </c>
      <c r="D203" t="s">
        <v>48</v>
      </c>
      <c r="E203" t="s">
        <v>51</v>
      </c>
      <c r="F203">
        <v>112314.21</v>
      </c>
    </row>
    <row r="204" spans="1:6" x14ac:dyDescent="0.3">
      <c r="A204">
        <v>2023</v>
      </c>
      <c r="B204">
        <v>3</v>
      </c>
      <c r="C204" t="s">
        <v>37</v>
      </c>
      <c r="D204" t="s">
        <v>48</v>
      </c>
      <c r="E204" t="s">
        <v>52</v>
      </c>
      <c r="F204">
        <v>110049.78</v>
      </c>
    </row>
    <row r="205" spans="1:6" x14ac:dyDescent="0.3">
      <c r="A205">
        <v>2023</v>
      </c>
      <c r="B205">
        <v>3</v>
      </c>
      <c r="C205" t="s">
        <v>40</v>
      </c>
      <c r="D205" t="s">
        <v>48</v>
      </c>
      <c r="E205" t="s">
        <v>52</v>
      </c>
      <c r="F205">
        <v>104551.92</v>
      </c>
    </row>
    <row r="206" spans="1:6" x14ac:dyDescent="0.3">
      <c r="A206">
        <v>2023</v>
      </c>
      <c r="B206">
        <v>3</v>
      </c>
      <c r="C206" t="s">
        <v>41</v>
      </c>
      <c r="D206" t="s">
        <v>48</v>
      </c>
      <c r="E206" t="s">
        <v>52</v>
      </c>
      <c r="F206">
        <v>73270.63</v>
      </c>
    </row>
    <row r="207" spans="1:6" x14ac:dyDescent="0.3">
      <c r="A207">
        <v>2023</v>
      </c>
      <c r="B207">
        <v>3</v>
      </c>
      <c r="C207" t="s">
        <v>42</v>
      </c>
      <c r="D207" t="s">
        <v>48</v>
      </c>
      <c r="E207" t="s">
        <v>52</v>
      </c>
      <c r="F207">
        <v>41952.89</v>
      </c>
    </row>
    <row r="208" spans="1:6" x14ac:dyDescent="0.3">
      <c r="A208">
        <v>2023</v>
      </c>
      <c r="B208">
        <v>3</v>
      </c>
      <c r="C208" t="s">
        <v>43</v>
      </c>
      <c r="D208" t="s">
        <v>48</v>
      </c>
      <c r="E208" t="s">
        <v>52</v>
      </c>
      <c r="F208">
        <v>59722.86</v>
      </c>
    </row>
    <row r="209" spans="1:6" x14ac:dyDescent="0.3">
      <c r="A209">
        <v>2023</v>
      </c>
      <c r="B209">
        <v>3</v>
      </c>
      <c r="C209" t="s">
        <v>44</v>
      </c>
      <c r="D209" t="s">
        <v>48</v>
      </c>
      <c r="E209" t="s">
        <v>52</v>
      </c>
      <c r="F209">
        <v>70216.11</v>
      </c>
    </row>
    <row r="210" spans="1:6" x14ac:dyDescent="0.3">
      <c r="A210">
        <v>2023</v>
      </c>
      <c r="B210">
        <v>3</v>
      </c>
      <c r="C210" t="s">
        <v>45</v>
      </c>
      <c r="D210" t="s">
        <v>48</v>
      </c>
      <c r="E210" t="s">
        <v>52</v>
      </c>
      <c r="F210">
        <v>90766.13</v>
      </c>
    </row>
    <row r="211" spans="1:6" x14ac:dyDescent="0.3">
      <c r="A211">
        <v>2023</v>
      </c>
      <c r="B211">
        <v>3</v>
      </c>
      <c r="C211" t="s">
        <v>37</v>
      </c>
      <c r="D211" t="s">
        <v>48</v>
      </c>
      <c r="E211" t="s">
        <v>53</v>
      </c>
      <c r="F211">
        <v>103975.58</v>
      </c>
    </row>
    <row r="212" spans="1:6" x14ac:dyDescent="0.3">
      <c r="A212">
        <v>2023</v>
      </c>
      <c r="B212">
        <v>3</v>
      </c>
      <c r="C212" t="s">
        <v>40</v>
      </c>
      <c r="D212" t="s">
        <v>48</v>
      </c>
      <c r="E212" t="s">
        <v>53</v>
      </c>
      <c r="F212">
        <v>92331.61</v>
      </c>
    </row>
    <row r="213" spans="1:6" x14ac:dyDescent="0.3">
      <c r="A213">
        <v>2023</v>
      </c>
      <c r="B213">
        <v>3</v>
      </c>
      <c r="C213" t="s">
        <v>41</v>
      </c>
      <c r="D213" t="s">
        <v>48</v>
      </c>
      <c r="E213" t="s">
        <v>53</v>
      </c>
      <c r="F213">
        <v>61374.17</v>
      </c>
    </row>
    <row r="214" spans="1:6" x14ac:dyDescent="0.3">
      <c r="A214">
        <v>2023</v>
      </c>
      <c r="B214">
        <v>3</v>
      </c>
      <c r="C214" t="s">
        <v>42</v>
      </c>
      <c r="D214" t="s">
        <v>48</v>
      </c>
      <c r="E214" t="s">
        <v>53</v>
      </c>
      <c r="F214">
        <v>66374.86</v>
      </c>
    </row>
    <row r="215" spans="1:6" x14ac:dyDescent="0.3">
      <c r="A215">
        <v>2023</v>
      </c>
      <c r="B215">
        <v>3</v>
      </c>
      <c r="C215" t="s">
        <v>43</v>
      </c>
      <c r="D215" t="s">
        <v>48</v>
      </c>
      <c r="E215" t="s">
        <v>53</v>
      </c>
      <c r="F215">
        <v>46590.54</v>
      </c>
    </row>
    <row r="216" spans="1:6" x14ac:dyDescent="0.3">
      <c r="A216">
        <v>2023</v>
      </c>
      <c r="B216">
        <v>3</v>
      </c>
      <c r="C216" t="s">
        <v>44</v>
      </c>
      <c r="D216" t="s">
        <v>48</v>
      </c>
      <c r="E216" t="s">
        <v>53</v>
      </c>
      <c r="F216">
        <v>99345.73</v>
      </c>
    </row>
    <row r="217" spans="1:6" x14ac:dyDescent="0.3">
      <c r="A217">
        <v>2023</v>
      </c>
      <c r="B217">
        <v>3</v>
      </c>
      <c r="C217" t="s">
        <v>45</v>
      </c>
      <c r="D217" t="s">
        <v>48</v>
      </c>
      <c r="E217" t="s">
        <v>53</v>
      </c>
      <c r="F217">
        <v>82489.009999999995</v>
      </c>
    </row>
    <row r="218" spans="1:6" x14ac:dyDescent="0.3">
      <c r="A218">
        <v>2023</v>
      </c>
      <c r="B218">
        <v>3</v>
      </c>
      <c r="C218" t="s">
        <v>37</v>
      </c>
      <c r="D218" t="s">
        <v>48</v>
      </c>
      <c r="E218" t="s">
        <v>54</v>
      </c>
      <c r="F218">
        <v>43105.21</v>
      </c>
    </row>
    <row r="219" spans="1:6" x14ac:dyDescent="0.3">
      <c r="A219">
        <v>2023</v>
      </c>
      <c r="B219">
        <v>3</v>
      </c>
      <c r="C219" t="s">
        <v>40</v>
      </c>
      <c r="D219" t="s">
        <v>48</v>
      </c>
      <c r="E219" t="s">
        <v>54</v>
      </c>
      <c r="F219">
        <v>46015.91</v>
      </c>
    </row>
    <row r="220" spans="1:6" x14ac:dyDescent="0.3">
      <c r="A220">
        <v>2023</v>
      </c>
      <c r="B220">
        <v>3</v>
      </c>
      <c r="C220" t="s">
        <v>41</v>
      </c>
      <c r="D220" t="s">
        <v>48</v>
      </c>
      <c r="E220" t="s">
        <v>54</v>
      </c>
      <c r="F220">
        <v>89619.92</v>
      </c>
    </row>
    <row r="221" spans="1:6" x14ac:dyDescent="0.3">
      <c r="A221">
        <v>2023</v>
      </c>
      <c r="B221">
        <v>3</v>
      </c>
      <c r="C221" t="s">
        <v>42</v>
      </c>
      <c r="D221" t="s">
        <v>48</v>
      </c>
      <c r="E221" t="s">
        <v>54</v>
      </c>
      <c r="F221">
        <v>102983.74</v>
      </c>
    </row>
    <row r="222" spans="1:6" x14ac:dyDescent="0.3">
      <c r="A222">
        <v>2023</v>
      </c>
      <c r="B222">
        <v>3</v>
      </c>
      <c r="C222" t="s">
        <v>43</v>
      </c>
      <c r="D222" t="s">
        <v>48</v>
      </c>
      <c r="E222" t="s">
        <v>54</v>
      </c>
      <c r="F222">
        <v>88298.61</v>
      </c>
    </row>
    <row r="223" spans="1:6" x14ac:dyDescent="0.3">
      <c r="A223">
        <v>2023</v>
      </c>
      <c r="B223">
        <v>3</v>
      </c>
      <c r="C223" t="s">
        <v>44</v>
      </c>
      <c r="D223" t="s">
        <v>48</v>
      </c>
      <c r="E223" t="s">
        <v>54</v>
      </c>
      <c r="F223">
        <v>11872.96</v>
      </c>
    </row>
    <row r="224" spans="1:6" x14ac:dyDescent="0.3">
      <c r="A224">
        <v>2023</v>
      </c>
      <c r="B224">
        <v>3</v>
      </c>
      <c r="C224" t="s">
        <v>45</v>
      </c>
      <c r="D224" t="s">
        <v>48</v>
      </c>
      <c r="E224" t="s">
        <v>54</v>
      </c>
      <c r="F224">
        <v>34309.660000000003</v>
      </c>
    </row>
    <row r="225" spans="1:6" x14ac:dyDescent="0.3">
      <c r="A225">
        <v>2023</v>
      </c>
      <c r="B225">
        <v>3</v>
      </c>
      <c r="C225" t="s">
        <v>37</v>
      </c>
      <c r="D225" t="s">
        <v>48</v>
      </c>
      <c r="E225" t="s">
        <v>55</v>
      </c>
      <c r="F225">
        <v>36126.519999999997</v>
      </c>
    </row>
    <row r="226" spans="1:6" x14ac:dyDescent="0.3">
      <c r="A226">
        <v>2023</v>
      </c>
      <c r="B226">
        <v>3</v>
      </c>
      <c r="C226" t="s">
        <v>40</v>
      </c>
      <c r="D226" t="s">
        <v>48</v>
      </c>
      <c r="E226" t="s">
        <v>55</v>
      </c>
      <c r="F226">
        <v>68936.25</v>
      </c>
    </row>
    <row r="227" spans="1:6" x14ac:dyDescent="0.3">
      <c r="A227">
        <v>2023</v>
      </c>
      <c r="B227">
        <v>3</v>
      </c>
      <c r="C227" t="s">
        <v>41</v>
      </c>
      <c r="D227" t="s">
        <v>48</v>
      </c>
      <c r="E227" t="s">
        <v>55</v>
      </c>
      <c r="F227">
        <v>15900.14</v>
      </c>
    </row>
    <row r="228" spans="1:6" x14ac:dyDescent="0.3">
      <c r="A228">
        <v>2023</v>
      </c>
      <c r="B228">
        <v>3</v>
      </c>
      <c r="C228" t="s">
        <v>42</v>
      </c>
      <c r="D228" t="s">
        <v>48</v>
      </c>
      <c r="E228" t="s">
        <v>55</v>
      </c>
      <c r="F228">
        <v>38083.839999999997</v>
      </c>
    </row>
    <row r="229" spans="1:6" x14ac:dyDescent="0.3">
      <c r="A229">
        <v>2023</v>
      </c>
      <c r="B229">
        <v>3</v>
      </c>
      <c r="C229" t="s">
        <v>43</v>
      </c>
      <c r="D229" t="s">
        <v>48</v>
      </c>
      <c r="E229" t="s">
        <v>55</v>
      </c>
      <c r="F229">
        <v>43002.76</v>
      </c>
    </row>
    <row r="230" spans="1:6" x14ac:dyDescent="0.3">
      <c r="A230">
        <v>2023</v>
      </c>
      <c r="B230">
        <v>3</v>
      </c>
      <c r="C230" t="s">
        <v>44</v>
      </c>
      <c r="D230" t="s">
        <v>48</v>
      </c>
      <c r="E230" t="s">
        <v>55</v>
      </c>
      <c r="F230">
        <v>50060.69</v>
      </c>
    </row>
    <row r="231" spans="1:6" x14ac:dyDescent="0.3">
      <c r="A231">
        <v>2023</v>
      </c>
      <c r="B231">
        <v>3</v>
      </c>
      <c r="C231" t="s">
        <v>45</v>
      </c>
      <c r="D231" t="s">
        <v>48</v>
      </c>
      <c r="E231" t="s">
        <v>55</v>
      </c>
      <c r="F231">
        <v>57401.84</v>
      </c>
    </row>
    <row r="232" spans="1:6" x14ac:dyDescent="0.3">
      <c r="A232">
        <v>2023</v>
      </c>
      <c r="B232">
        <v>3</v>
      </c>
      <c r="C232" t="s">
        <v>37</v>
      </c>
      <c r="D232" t="s">
        <v>48</v>
      </c>
      <c r="E232" t="s">
        <v>56</v>
      </c>
      <c r="F232">
        <v>68375.53</v>
      </c>
    </row>
    <row r="233" spans="1:6" x14ac:dyDescent="0.3">
      <c r="A233">
        <v>2023</v>
      </c>
      <c r="B233">
        <v>3</v>
      </c>
      <c r="C233" t="s">
        <v>40</v>
      </c>
      <c r="D233" t="s">
        <v>48</v>
      </c>
      <c r="E233" t="s">
        <v>56</v>
      </c>
      <c r="F233">
        <v>66674.179999999993</v>
      </c>
    </row>
    <row r="234" spans="1:6" x14ac:dyDescent="0.3">
      <c r="A234">
        <v>2023</v>
      </c>
      <c r="B234">
        <v>3</v>
      </c>
      <c r="C234" t="s">
        <v>41</v>
      </c>
      <c r="D234" t="s">
        <v>48</v>
      </c>
      <c r="E234" t="s">
        <v>56</v>
      </c>
      <c r="F234">
        <v>103763.11</v>
      </c>
    </row>
    <row r="235" spans="1:6" x14ac:dyDescent="0.3">
      <c r="A235">
        <v>2023</v>
      </c>
      <c r="B235">
        <v>3</v>
      </c>
      <c r="C235" t="s">
        <v>42</v>
      </c>
      <c r="D235" t="s">
        <v>48</v>
      </c>
      <c r="E235" t="s">
        <v>56</v>
      </c>
      <c r="F235">
        <v>46567.98</v>
      </c>
    </row>
    <row r="236" spans="1:6" x14ac:dyDescent="0.3">
      <c r="A236">
        <v>2023</v>
      </c>
      <c r="B236">
        <v>3</v>
      </c>
      <c r="C236" t="s">
        <v>43</v>
      </c>
      <c r="D236" t="s">
        <v>48</v>
      </c>
      <c r="E236" t="s">
        <v>56</v>
      </c>
      <c r="F236">
        <v>64247.63</v>
      </c>
    </row>
    <row r="237" spans="1:6" x14ac:dyDescent="0.3">
      <c r="A237">
        <v>2023</v>
      </c>
      <c r="B237">
        <v>3</v>
      </c>
      <c r="C237" t="s">
        <v>44</v>
      </c>
      <c r="D237" t="s">
        <v>48</v>
      </c>
      <c r="E237" t="s">
        <v>56</v>
      </c>
      <c r="F237">
        <v>85678.79</v>
      </c>
    </row>
    <row r="238" spans="1:6" x14ac:dyDescent="0.3">
      <c r="A238">
        <v>2023</v>
      </c>
      <c r="B238">
        <v>3</v>
      </c>
      <c r="C238" t="s">
        <v>45</v>
      </c>
      <c r="D238" t="s">
        <v>48</v>
      </c>
      <c r="E238" t="s">
        <v>56</v>
      </c>
      <c r="F238">
        <v>43123.839999999997</v>
      </c>
    </row>
    <row r="239" spans="1:6" x14ac:dyDescent="0.3">
      <c r="A239">
        <v>2023</v>
      </c>
      <c r="B239">
        <v>3</v>
      </c>
      <c r="C239" t="s">
        <v>37</v>
      </c>
      <c r="D239" t="s">
        <v>57</v>
      </c>
      <c r="E239" t="s">
        <v>58</v>
      </c>
      <c r="F239">
        <v>96106.66</v>
      </c>
    </row>
    <row r="240" spans="1:6" x14ac:dyDescent="0.3">
      <c r="A240">
        <v>2023</v>
      </c>
      <c r="B240">
        <v>3</v>
      </c>
      <c r="C240" t="s">
        <v>37</v>
      </c>
      <c r="D240" t="s">
        <v>57</v>
      </c>
      <c r="E240" t="s">
        <v>59</v>
      </c>
      <c r="F240">
        <v>24643.11</v>
      </c>
    </row>
    <row r="241" spans="1:6" x14ac:dyDescent="0.3">
      <c r="A241">
        <v>2023</v>
      </c>
      <c r="B241">
        <v>3</v>
      </c>
      <c r="C241" t="s">
        <v>37</v>
      </c>
      <c r="D241" t="s">
        <v>57</v>
      </c>
      <c r="E241" t="s">
        <v>60</v>
      </c>
      <c r="F241">
        <v>55785.39</v>
      </c>
    </row>
    <row r="242" spans="1:6" x14ac:dyDescent="0.3">
      <c r="A242">
        <v>2023</v>
      </c>
      <c r="B242">
        <v>4</v>
      </c>
      <c r="C242" t="s">
        <v>37</v>
      </c>
      <c r="D242" t="s">
        <v>38</v>
      </c>
      <c r="E242" t="s">
        <v>39</v>
      </c>
      <c r="F242">
        <v>79037.66</v>
      </c>
    </row>
    <row r="243" spans="1:6" x14ac:dyDescent="0.3">
      <c r="A243">
        <v>2023</v>
      </c>
      <c r="B243">
        <v>4</v>
      </c>
      <c r="C243" t="s">
        <v>40</v>
      </c>
      <c r="D243" t="s">
        <v>38</v>
      </c>
      <c r="E243" t="s">
        <v>39</v>
      </c>
      <c r="F243">
        <v>116709.73</v>
      </c>
    </row>
    <row r="244" spans="1:6" x14ac:dyDescent="0.3">
      <c r="A244">
        <v>2023</v>
      </c>
      <c r="B244">
        <v>4</v>
      </c>
      <c r="C244" t="s">
        <v>41</v>
      </c>
      <c r="D244" t="s">
        <v>38</v>
      </c>
      <c r="E244" t="s">
        <v>39</v>
      </c>
      <c r="F244">
        <v>27454.31</v>
      </c>
    </row>
    <row r="245" spans="1:6" x14ac:dyDescent="0.3">
      <c r="A245">
        <v>2023</v>
      </c>
      <c r="B245">
        <v>4</v>
      </c>
      <c r="C245" t="s">
        <v>42</v>
      </c>
      <c r="D245" t="s">
        <v>38</v>
      </c>
      <c r="E245" t="s">
        <v>39</v>
      </c>
      <c r="F245">
        <v>96906.08</v>
      </c>
    </row>
    <row r="246" spans="1:6" x14ac:dyDescent="0.3">
      <c r="A246">
        <v>2023</v>
      </c>
      <c r="B246">
        <v>4</v>
      </c>
      <c r="C246" t="s">
        <v>43</v>
      </c>
      <c r="D246" t="s">
        <v>38</v>
      </c>
      <c r="E246" t="s">
        <v>39</v>
      </c>
      <c r="F246">
        <v>59230.09</v>
      </c>
    </row>
    <row r="247" spans="1:6" x14ac:dyDescent="0.3">
      <c r="A247">
        <v>2023</v>
      </c>
      <c r="B247">
        <v>4</v>
      </c>
      <c r="C247" t="s">
        <v>44</v>
      </c>
      <c r="D247" t="s">
        <v>38</v>
      </c>
      <c r="E247" t="s">
        <v>39</v>
      </c>
      <c r="F247">
        <v>42334.080000000002</v>
      </c>
    </row>
    <row r="248" spans="1:6" x14ac:dyDescent="0.3">
      <c r="A248">
        <v>2023</v>
      </c>
      <c r="B248">
        <v>4</v>
      </c>
      <c r="C248" t="s">
        <v>45</v>
      </c>
      <c r="D248" t="s">
        <v>38</v>
      </c>
      <c r="E248" t="s">
        <v>39</v>
      </c>
      <c r="F248">
        <v>58798.95</v>
      </c>
    </row>
    <row r="249" spans="1:6" x14ac:dyDescent="0.3">
      <c r="A249">
        <v>2023</v>
      </c>
      <c r="B249">
        <v>4</v>
      </c>
      <c r="C249" t="s">
        <v>37</v>
      </c>
      <c r="D249" t="s">
        <v>38</v>
      </c>
      <c r="E249" t="s">
        <v>46</v>
      </c>
      <c r="F249">
        <v>64608</v>
      </c>
    </row>
    <row r="250" spans="1:6" x14ac:dyDescent="0.3">
      <c r="A250">
        <v>2023</v>
      </c>
      <c r="B250">
        <v>4</v>
      </c>
      <c r="C250" t="s">
        <v>40</v>
      </c>
      <c r="D250" t="s">
        <v>38</v>
      </c>
      <c r="E250" t="s">
        <v>46</v>
      </c>
      <c r="F250">
        <v>86929.1</v>
      </c>
    </row>
    <row r="251" spans="1:6" x14ac:dyDescent="0.3">
      <c r="A251">
        <v>2023</v>
      </c>
      <c r="B251">
        <v>4</v>
      </c>
      <c r="C251" t="s">
        <v>41</v>
      </c>
      <c r="D251" t="s">
        <v>38</v>
      </c>
      <c r="E251" t="s">
        <v>46</v>
      </c>
      <c r="F251">
        <v>73699.37</v>
      </c>
    </row>
    <row r="252" spans="1:6" x14ac:dyDescent="0.3">
      <c r="A252">
        <v>2023</v>
      </c>
      <c r="B252">
        <v>4</v>
      </c>
      <c r="C252" t="s">
        <v>42</v>
      </c>
      <c r="D252" t="s">
        <v>38</v>
      </c>
      <c r="E252" t="s">
        <v>46</v>
      </c>
      <c r="F252">
        <v>75693.899999999994</v>
      </c>
    </row>
    <row r="253" spans="1:6" x14ac:dyDescent="0.3">
      <c r="A253">
        <v>2023</v>
      </c>
      <c r="B253">
        <v>4</v>
      </c>
      <c r="C253" t="s">
        <v>43</v>
      </c>
      <c r="D253" t="s">
        <v>38</v>
      </c>
      <c r="E253" t="s">
        <v>46</v>
      </c>
      <c r="F253">
        <v>82037.16</v>
      </c>
    </row>
    <row r="254" spans="1:6" x14ac:dyDescent="0.3">
      <c r="A254">
        <v>2023</v>
      </c>
      <c r="B254">
        <v>4</v>
      </c>
      <c r="C254" t="s">
        <v>44</v>
      </c>
      <c r="D254" t="s">
        <v>38</v>
      </c>
      <c r="E254" t="s">
        <v>46</v>
      </c>
      <c r="F254">
        <v>54523.33</v>
      </c>
    </row>
    <row r="255" spans="1:6" x14ac:dyDescent="0.3">
      <c r="A255">
        <v>2023</v>
      </c>
      <c r="B255">
        <v>4</v>
      </c>
      <c r="C255" t="s">
        <v>45</v>
      </c>
      <c r="D255" t="s">
        <v>38</v>
      </c>
      <c r="E255" t="s">
        <v>46</v>
      </c>
      <c r="F255">
        <v>39988.879999999997</v>
      </c>
    </row>
    <row r="256" spans="1:6" x14ac:dyDescent="0.3">
      <c r="A256">
        <v>2023</v>
      </c>
      <c r="B256">
        <v>4</v>
      </c>
      <c r="C256" t="s">
        <v>37</v>
      </c>
      <c r="D256" t="s">
        <v>38</v>
      </c>
      <c r="E256" t="s">
        <v>47</v>
      </c>
      <c r="F256">
        <v>50460.02</v>
      </c>
    </row>
    <row r="257" spans="1:6" x14ac:dyDescent="0.3">
      <c r="A257">
        <v>2023</v>
      </c>
      <c r="B257">
        <v>4</v>
      </c>
      <c r="C257" t="s">
        <v>40</v>
      </c>
      <c r="D257" t="s">
        <v>38</v>
      </c>
      <c r="E257" t="s">
        <v>47</v>
      </c>
      <c r="F257">
        <v>33615.86</v>
      </c>
    </row>
    <row r="258" spans="1:6" x14ac:dyDescent="0.3">
      <c r="A258">
        <v>2023</v>
      </c>
      <c r="B258">
        <v>4</v>
      </c>
      <c r="C258" t="s">
        <v>41</v>
      </c>
      <c r="D258" t="s">
        <v>38</v>
      </c>
      <c r="E258" t="s">
        <v>47</v>
      </c>
      <c r="F258">
        <v>61870.41</v>
      </c>
    </row>
    <row r="259" spans="1:6" x14ac:dyDescent="0.3">
      <c r="A259">
        <v>2023</v>
      </c>
      <c r="B259">
        <v>4</v>
      </c>
      <c r="C259" t="s">
        <v>42</v>
      </c>
      <c r="D259" t="s">
        <v>38</v>
      </c>
      <c r="E259" t="s">
        <v>47</v>
      </c>
      <c r="F259">
        <v>19679.46</v>
      </c>
    </row>
    <row r="260" spans="1:6" x14ac:dyDescent="0.3">
      <c r="A260">
        <v>2023</v>
      </c>
      <c r="B260">
        <v>4</v>
      </c>
      <c r="C260" t="s">
        <v>43</v>
      </c>
      <c r="D260" t="s">
        <v>38</v>
      </c>
      <c r="E260" t="s">
        <v>47</v>
      </c>
      <c r="F260">
        <v>35982.449999999997</v>
      </c>
    </row>
    <row r="261" spans="1:6" x14ac:dyDescent="0.3">
      <c r="A261">
        <v>2023</v>
      </c>
      <c r="B261">
        <v>4</v>
      </c>
      <c r="C261" t="s">
        <v>44</v>
      </c>
      <c r="D261" t="s">
        <v>38</v>
      </c>
      <c r="E261" t="s">
        <v>47</v>
      </c>
      <c r="F261">
        <v>66375.399999999994</v>
      </c>
    </row>
    <row r="262" spans="1:6" x14ac:dyDescent="0.3">
      <c r="A262">
        <v>2023</v>
      </c>
      <c r="B262">
        <v>4</v>
      </c>
      <c r="C262" t="s">
        <v>45</v>
      </c>
      <c r="D262" t="s">
        <v>38</v>
      </c>
      <c r="E262" t="s">
        <v>47</v>
      </c>
      <c r="F262">
        <v>85140.93</v>
      </c>
    </row>
    <row r="263" spans="1:6" x14ac:dyDescent="0.3">
      <c r="A263">
        <v>2023</v>
      </c>
      <c r="B263">
        <v>4</v>
      </c>
      <c r="C263" t="s">
        <v>37</v>
      </c>
      <c r="D263" t="s">
        <v>48</v>
      </c>
      <c r="E263" t="s">
        <v>49</v>
      </c>
      <c r="F263">
        <v>71406.789999999994</v>
      </c>
    </row>
    <row r="264" spans="1:6" x14ac:dyDescent="0.3">
      <c r="A264">
        <v>2023</v>
      </c>
      <c r="B264">
        <v>4</v>
      </c>
      <c r="C264" t="s">
        <v>40</v>
      </c>
      <c r="D264" t="s">
        <v>48</v>
      </c>
      <c r="E264" t="s">
        <v>49</v>
      </c>
      <c r="F264">
        <v>50761.25</v>
      </c>
    </row>
    <row r="265" spans="1:6" x14ac:dyDescent="0.3">
      <c r="A265">
        <v>2023</v>
      </c>
      <c r="B265">
        <v>4</v>
      </c>
      <c r="C265" t="s">
        <v>41</v>
      </c>
      <c r="D265" t="s">
        <v>48</v>
      </c>
      <c r="E265" t="s">
        <v>49</v>
      </c>
      <c r="F265">
        <v>81085.279999999999</v>
      </c>
    </row>
    <row r="266" spans="1:6" x14ac:dyDescent="0.3">
      <c r="A266">
        <v>2023</v>
      </c>
      <c r="B266">
        <v>4</v>
      </c>
      <c r="C266" t="s">
        <v>42</v>
      </c>
      <c r="D266" t="s">
        <v>48</v>
      </c>
      <c r="E266" t="s">
        <v>49</v>
      </c>
      <c r="F266">
        <v>10268.280000000001</v>
      </c>
    </row>
    <row r="267" spans="1:6" x14ac:dyDescent="0.3">
      <c r="A267">
        <v>2023</v>
      </c>
      <c r="B267">
        <v>4</v>
      </c>
      <c r="C267" t="s">
        <v>43</v>
      </c>
      <c r="D267" t="s">
        <v>48</v>
      </c>
      <c r="E267" t="s">
        <v>49</v>
      </c>
      <c r="F267">
        <v>10869.24</v>
      </c>
    </row>
    <row r="268" spans="1:6" x14ac:dyDescent="0.3">
      <c r="A268">
        <v>2023</v>
      </c>
      <c r="B268">
        <v>4</v>
      </c>
      <c r="C268" t="s">
        <v>44</v>
      </c>
      <c r="D268" t="s">
        <v>48</v>
      </c>
      <c r="E268" t="s">
        <v>49</v>
      </c>
      <c r="F268">
        <v>81632.539999999994</v>
      </c>
    </row>
    <row r="269" spans="1:6" x14ac:dyDescent="0.3">
      <c r="A269">
        <v>2023</v>
      </c>
      <c r="B269">
        <v>4</v>
      </c>
      <c r="C269" t="s">
        <v>45</v>
      </c>
      <c r="D269" t="s">
        <v>48</v>
      </c>
      <c r="E269" t="s">
        <v>49</v>
      </c>
      <c r="F269">
        <v>44204.76</v>
      </c>
    </row>
    <row r="270" spans="1:6" x14ac:dyDescent="0.3">
      <c r="A270">
        <v>2023</v>
      </c>
      <c r="B270">
        <v>4</v>
      </c>
      <c r="C270" t="s">
        <v>37</v>
      </c>
      <c r="D270" t="s">
        <v>48</v>
      </c>
      <c r="E270" t="s">
        <v>50</v>
      </c>
      <c r="F270">
        <v>41120.94</v>
      </c>
    </row>
    <row r="271" spans="1:6" x14ac:dyDescent="0.3">
      <c r="A271">
        <v>2023</v>
      </c>
      <c r="B271">
        <v>4</v>
      </c>
      <c r="C271" t="s">
        <v>40</v>
      </c>
      <c r="D271" t="s">
        <v>48</v>
      </c>
      <c r="E271" t="s">
        <v>50</v>
      </c>
      <c r="F271">
        <v>71653.98</v>
      </c>
    </row>
    <row r="272" spans="1:6" x14ac:dyDescent="0.3">
      <c r="A272">
        <v>2023</v>
      </c>
      <c r="B272">
        <v>4</v>
      </c>
      <c r="C272" t="s">
        <v>41</v>
      </c>
      <c r="D272" t="s">
        <v>48</v>
      </c>
      <c r="E272" t="s">
        <v>50</v>
      </c>
      <c r="F272">
        <v>107588.36</v>
      </c>
    </row>
    <row r="273" spans="1:6" x14ac:dyDescent="0.3">
      <c r="A273">
        <v>2023</v>
      </c>
      <c r="B273">
        <v>4</v>
      </c>
      <c r="C273" t="s">
        <v>42</v>
      </c>
      <c r="D273" t="s">
        <v>48</v>
      </c>
      <c r="E273" t="s">
        <v>50</v>
      </c>
      <c r="F273">
        <v>14808.15</v>
      </c>
    </row>
    <row r="274" spans="1:6" x14ac:dyDescent="0.3">
      <c r="A274">
        <v>2023</v>
      </c>
      <c r="B274">
        <v>4</v>
      </c>
      <c r="C274" t="s">
        <v>43</v>
      </c>
      <c r="D274" t="s">
        <v>48</v>
      </c>
      <c r="E274" t="s">
        <v>50</v>
      </c>
      <c r="F274">
        <v>68103.47</v>
      </c>
    </row>
    <row r="275" spans="1:6" x14ac:dyDescent="0.3">
      <c r="A275">
        <v>2023</v>
      </c>
      <c r="B275">
        <v>4</v>
      </c>
      <c r="C275" t="s">
        <v>44</v>
      </c>
      <c r="D275" t="s">
        <v>48</v>
      </c>
      <c r="E275" t="s">
        <v>50</v>
      </c>
      <c r="F275">
        <v>55433.13</v>
      </c>
    </row>
    <row r="276" spans="1:6" x14ac:dyDescent="0.3">
      <c r="A276">
        <v>2023</v>
      </c>
      <c r="B276">
        <v>4</v>
      </c>
      <c r="C276" t="s">
        <v>45</v>
      </c>
      <c r="D276" t="s">
        <v>48</v>
      </c>
      <c r="E276" t="s">
        <v>50</v>
      </c>
      <c r="F276">
        <v>83012.66</v>
      </c>
    </row>
    <row r="277" spans="1:6" x14ac:dyDescent="0.3">
      <c r="A277">
        <v>2023</v>
      </c>
      <c r="B277">
        <v>4</v>
      </c>
      <c r="C277" t="s">
        <v>37</v>
      </c>
      <c r="D277" t="s">
        <v>48</v>
      </c>
      <c r="E277" t="s">
        <v>51</v>
      </c>
      <c r="F277">
        <v>48851.14</v>
      </c>
    </row>
    <row r="278" spans="1:6" x14ac:dyDescent="0.3">
      <c r="A278">
        <v>2023</v>
      </c>
      <c r="B278">
        <v>4</v>
      </c>
      <c r="C278" t="s">
        <v>40</v>
      </c>
      <c r="D278" t="s">
        <v>48</v>
      </c>
      <c r="E278" t="s">
        <v>51</v>
      </c>
      <c r="F278">
        <v>118736.36</v>
      </c>
    </row>
    <row r="279" spans="1:6" x14ac:dyDescent="0.3">
      <c r="A279">
        <v>2023</v>
      </c>
      <c r="B279">
        <v>4</v>
      </c>
      <c r="C279" t="s">
        <v>41</v>
      </c>
      <c r="D279" t="s">
        <v>48</v>
      </c>
      <c r="E279" t="s">
        <v>51</v>
      </c>
      <c r="F279">
        <v>105737.45</v>
      </c>
    </row>
    <row r="280" spans="1:6" x14ac:dyDescent="0.3">
      <c r="A280">
        <v>2023</v>
      </c>
      <c r="B280">
        <v>4</v>
      </c>
      <c r="C280" t="s">
        <v>42</v>
      </c>
      <c r="D280" t="s">
        <v>48</v>
      </c>
      <c r="E280" t="s">
        <v>51</v>
      </c>
      <c r="F280">
        <v>30884.53</v>
      </c>
    </row>
    <row r="281" spans="1:6" x14ac:dyDescent="0.3">
      <c r="A281">
        <v>2023</v>
      </c>
      <c r="B281">
        <v>4</v>
      </c>
      <c r="C281" t="s">
        <v>43</v>
      </c>
      <c r="D281" t="s">
        <v>48</v>
      </c>
      <c r="E281" t="s">
        <v>51</v>
      </c>
      <c r="F281">
        <v>92795.96</v>
      </c>
    </row>
    <row r="282" spans="1:6" x14ac:dyDescent="0.3">
      <c r="A282">
        <v>2023</v>
      </c>
      <c r="B282">
        <v>4</v>
      </c>
      <c r="C282" t="s">
        <v>44</v>
      </c>
      <c r="D282" t="s">
        <v>48</v>
      </c>
      <c r="E282" t="s">
        <v>51</v>
      </c>
      <c r="F282">
        <v>71468.58</v>
      </c>
    </row>
    <row r="283" spans="1:6" x14ac:dyDescent="0.3">
      <c r="A283">
        <v>2023</v>
      </c>
      <c r="B283">
        <v>4</v>
      </c>
      <c r="C283" t="s">
        <v>45</v>
      </c>
      <c r="D283" t="s">
        <v>48</v>
      </c>
      <c r="E283" t="s">
        <v>51</v>
      </c>
      <c r="F283">
        <v>77084.59</v>
      </c>
    </row>
    <row r="284" spans="1:6" x14ac:dyDescent="0.3">
      <c r="A284">
        <v>2023</v>
      </c>
      <c r="B284">
        <v>4</v>
      </c>
      <c r="C284" t="s">
        <v>37</v>
      </c>
      <c r="D284" t="s">
        <v>48</v>
      </c>
      <c r="E284" t="s">
        <v>52</v>
      </c>
      <c r="F284">
        <v>111599.53</v>
      </c>
    </row>
    <row r="285" spans="1:6" x14ac:dyDescent="0.3">
      <c r="A285">
        <v>2023</v>
      </c>
      <c r="B285">
        <v>4</v>
      </c>
      <c r="C285" t="s">
        <v>40</v>
      </c>
      <c r="D285" t="s">
        <v>48</v>
      </c>
      <c r="E285" t="s">
        <v>52</v>
      </c>
      <c r="F285">
        <v>93504.56</v>
      </c>
    </row>
    <row r="286" spans="1:6" x14ac:dyDescent="0.3">
      <c r="A286">
        <v>2023</v>
      </c>
      <c r="B286">
        <v>4</v>
      </c>
      <c r="C286" t="s">
        <v>41</v>
      </c>
      <c r="D286" t="s">
        <v>48</v>
      </c>
      <c r="E286" t="s">
        <v>52</v>
      </c>
      <c r="F286">
        <v>115123.08</v>
      </c>
    </row>
    <row r="287" spans="1:6" x14ac:dyDescent="0.3">
      <c r="A287">
        <v>2023</v>
      </c>
      <c r="B287">
        <v>4</v>
      </c>
      <c r="C287" t="s">
        <v>42</v>
      </c>
      <c r="D287" t="s">
        <v>48</v>
      </c>
      <c r="E287" t="s">
        <v>52</v>
      </c>
      <c r="F287">
        <v>72773.03</v>
      </c>
    </row>
    <row r="288" spans="1:6" x14ac:dyDescent="0.3">
      <c r="A288">
        <v>2023</v>
      </c>
      <c r="B288">
        <v>4</v>
      </c>
      <c r="C288" t="s">
        <v>43</v>
      </c>
      <c r="D288" t="s">
        <v>48</v>
      </c>
      <c r="E288" t="s">
        <v>52</v>
      </c>
      <c r="F288">
        <v>92250.43</v>
      </c>
    </row>
    <row r="289" spans="1:6" x14ac:dyDescent="0.3">
      <c r="A289">
        <v>2023</v>
      </c>
      <c r="B289">
        <v>4</v>
      </c>
      <c r="C289" t="s">
        <v>44</v>
      </c>
      <c r="D289" t="s">
        <v>48</v>
      </c>
      <c r="E289" t="s">
        <v>52</v>
      </c>
      <c r="F289">
        <v>75919.81</v>
      </c>
    </row>
    <row r="290" spans="1:6" x14ac:dyDescent="0.3">
      <c r="A290">
        <v>2023</v>
      </c>
      <c r="B290">
        <v>4</v>
      </c>
      <c r="C290" t="s">
        <v>45</v>
      </c>
      <c r="D290" t="s">
        <v>48</v>
      </c>
      <c r="E290" t="s">
        <v>52</v>
      </c>
      <c r="F290">
        <v>37425.35</v>
      </c>
    </row>
    <row r="291" spans="1:6" x14ac:dyDescent="0.3">
      <c r="A291">
        <v>2023</v>
      </c>
      <c r="B291">
        <v>4</v>
      </c>
      <c r="C291" t="s">
        <v>37</v>
      </c>
      <c r="D291" t="s">
        <v>48</v>
      </c>
      <c r="E291" t="s">
        <v>53</v>
      </c>
      <c r="F291">
        <v>100103.63</v>
      </c>
    </row>
    <row r="292" spans="1:6" x14ac:dyDescent="0.3">
      <c r="A292">
        <v>2023</v>
      </c>
      <c r="B292">
        <v>4</v>
      </c>
      <c r="C292" t="s">
        <v>40</v>
      </c>
      <c r="D292" t="s">
        <v>48</v>
      </c>
      <c r="E292" t="s">
        <v>53</v>
      </c>
      <c r="F292">
        <v>55607.35</v>
      </c>
    </row>
    <row r="293" spans="1:6" x14ac:dyDescent="0.3">
      <c r="A293">
        <v>2023</v>
      </c>
      <c r="B293">
        <v>4</v>
      </c>
      <c r="C293" t="s">
        <v>41</v>
      </c>
      <c r="D293" t="s">
        <v>48</v>
      </c>
      <c r="E293" t="s">
        <v>53</v>
      </c>
      <c r="F293">
        <v>34537.43</v>
      </c>
    </row>
    <row r="294" spans="1:6" x14ac:dyDescent="0.3">
      <c r="A294">
        <v>2023</v>
      </c>
      <c r="B294">
        <v>4</v>
      </c>
      <c r="C294" t="s">
        <v>42</v>
      </c>
      <c r="D294" t="s">
        <v>48</v>
      </c>
      <c r="E294" t="s">
        <v>53</v>
      </c>
      <c r="F294">
        <v>50636.65</v>
      </c>
    </row>
    <row r="295" spans="1:6" x14ac:dyDescent="0.3">
      <c r="A295">
        <v>2023</v>
      </c>
      <c r="B295">
        <v>4</v>
      </c>
      <c r="C295" t="s">
        <v>43</v>
      </c>
      <c r="D295" t="s">
        <v>48</v>
      </c>
      <c r="E295" t="s">
        <v>53</v>
      </c>
      <c r="F295">
        <v>71555.75</v>
      </c>
    </row>
    <row r="296" spans="1:6" x14ac:dyDescent="0.3">
      <c r="A296">
        <v>2023</v>
      </c>
      <c r="B296">
        <v>4</v>
      </c>
      <c r="C296" t="s">
        <v>44</v>
      </c>
      <c r="D296" t="s">
        <v>48</v>
      </c>
      <c r="E296" t="s">
        <v>53</v>
      </c>
      <c r="F296">
        <v>40590.35</v>
      </c>
    </row>
    <row r="297" spans="1:6" x14ac:dyDescent="0.3">
      <c r="A297">
        <v>2023</v>
      </c>
      <c r="B297">
        <v>4</v>
      </c>
      <c r="C297" t="s">
        <v>45</v>
      </c>
      <c r="D297" t="s">
        <v>48</v>
      </c>
      <c r="E297" t="s">
        <v>53</v>
      </c>
      <c r="F297">
        <v>44221.01</v>
      </c>
    </row>
    <row r="298" spans="1:6" x14ac:dyDescent="0.3">
      <c r="A298">
        <v>2023</v>
      </c>
      <c r="B298">
        <v>4</v>
      </c>
      <c r="C298" t="s">
        <v>37</v>
      </c>
      <c r="D298" t="s">
        <v>48</v>
      </c>
      <c r="E298" t="s">
        <v>54</v>
      </c>
      <c r="F298">
        <v>71125.279999999999</v>
      </c>
    </row>
    <row r="299" spans="1:6" x14ac:dyDescent="0.3">
      <c r="A299">
        <v>2023</v>
      </c>
      <c r="B299">
        <v>4</v>
      </c>
      <c r="C299" t="s">
        <v>40</v>
      </c>
      <c r="D299" t="s">
        <v>48</v>
      </c>
      <c r="E299" t="s">
        <v>54</v>
      </c>
      <c r="F299">
        <v>49173.35</v>
      </c>
    </row>
    <row r="300" spans="1:6" x14ac:dyDescent="0.3">
      <c r="A300">
        <v>2023</v>
      </c>
      <c r="B300">
        <v>4</v>
      </c>
      <c r="C300" t="s">
        <v>41</v>
      </c>
      <c r="D300" t="s">
        <v>48</v>
      </c>
      <c r="E300" t="s">
        <v>54</v>
      </c>
      <c r="F300">
        <v>77766.880000000005</v>
      </c>
    </row>
    <row r="301" spans="1:6" x14ac:dyDescent="0.3">
      <c r="A301">
        <v>2023</v>
      </c>
      <c r="B301">
        <v>4</v>
      </c>
      <c r="C301" t="s">
        <v>42</v>
      </c>
      <c r="D301" t="s">
        <v>48</v>
      </c>
      <c r="E301" t="s">
        <v>54</v>
      </c>
      <c r="F301">
        <v>15333.64</v>
      </c>
    </row>
    <row r="302" spans="1:6" x14ac:dyDescent="0.3">
      <c r="A302">
        <v>2023</v>
      </c>
      <c r="B302">
        <v>4</v>
      </c>
      <c r="C302" t="s">
        <v>43</v>
      </c>
      <c r="D302" t="s">
        <v>48</v>
      </c>
      <c r="E302" t="s">
        <v>54</v>
      </c>
      <c r="F302">
        <v>113304.12</v>
      </c>
    </row>
    <row r="303" spans="1:6" x14ac:dyDescent="0.3">
      <c r="A303">
        <v>2023</v>
      </c>
      <c r="B303">
        <v>4</v>
      </c>
      <c r="C303" t="s">
        <v>44</v>
      </c>
      <c r="D303" t="s">
        <v>48</v>
      </c>
      <c r="E303" t="s">
        <v>54</v>
      </c>
      <c r="F303">
        <v>13298.47</v>
      </c>
    </row>
    <row r="304" spans="1:6" x14ac:dyDescent="0.3">
      <c r="A304">
        <v>2023</v>
      </c>
      <c r="B304">
        <v>4</v>
      </c>
      <c r="C304" t="s">
        <v>45</v>
      </c>
      <c r="D304" t="s">
        <v>48</v>
      </c>
      <c r="E304" t="s">
        <v>54</v>
      </c>
      <c r="F304">
        <v>114485.99</v>
      </c>
    </row>
    <row r="305" spans="1:6" x14ac:dyDescent="0.3">
      <c r="A305">
        <v>2023</v>
      </c>
      <c r="B305">
        <v>4</v>
      </c>
      <c r="C305" t="s">
        <v>37</v>
      </c>
      <c r="D305" t="s">
        <v>48</v>
      </c>
      <c r="E305" t="s">
        <v>55</v>
      </c>
      <c r="F305">
        <v>46983.31</v>
      </c>
    </row>
    <row r="306" spans="1:6" x14ac:dyDescent="0.3">
      <c r="A306">
        <v>2023</v>
      </c>
      <c r="B306">
        <v>4</v>
      </c>
      <c r="C306" t="s">
        <v>40</v>
      </c>
      <c r="D306" t="s">
        <v>48</v>
      </c>
      <c r="E306" t="s">
        <v>55</v>
      </c>
      <c r="F306">
        <v>20082.36</v>
      </c>
    </row>
    <row r="307" spans="1:6" x14ac:dyDescent="0.3">
      <c r="A307">
        <v>2023</v>
      </c>
      <c r="B307">
        <v>4</v>
      </c>
      <c r="C307" t="s">
        <v>41</v>
      </c>
      <c r="D307" t="s">
        <v>48</v>
      </c>
      <c r="E307" t="s">
        <v>55</v>
      </c>
      <c r="F307">
        <v>56225.74</v>
      </c>
    </row>
    <row r="308" spans="1:6" x14ac:dyDescent="0.3">
      <c r="A308">
        <v>2023</v>
      </c>
      <c r="B308">
        <v>4</v>
      </c>
      <c r="C308" t="s">
        <v>42</v>
      </c>
      <c r="D308" t="s">
        <v>48</v>
      </c>
      <c r="E308" t="s">
        <v>55</v>
      </c>
      <c r="F308">
        <v>36110.089999999997</v>
      </c>
    </row>
    <row r="309" spans="1:6" x14ac:dyDescent="0.3">
      <c r="A309">
        <v>2023</v>
      </c>
      <c r="B309">
        <v>4</v>
      </c>
      <c r="C309" t="s">
        <v>43</v>
      </c>
      <c r="D309" t="s">
        <v>48</v>
      </c>
      <c r="E309" t="s">
        <v>55</v>
      </c>
      <c r="F309">
        <v>59808.639999999999</v>
      </c>
    </row>
    <row r="310" spans="1:6" x14ac:dyDescent="0.3">
      <c r="A310">
        <v>2023</v>
      </c>
      <c r="B310">
        <v>4</v>
      </c>
      <c r="C310" t="s">
        <v>44</v>
      </c>
      <c r="D310" t="s">
        <v>48</v>
      </c>
      <c r="E310" t="s">
        <v>55</v>
      </c>
      <c r="F310">
        <v>94148.22</v>
      </c>
    </row>
    <row r="311" spans="1:6" x14ac:dyDescent="0.3">
      <c r="A311">
        <v>2023</v>
      </c>
      <c r="B311">
        <v>4</v>
      </c>
      <c r="C311" t="s">
        <v>45</v>
      </c>
      <c r="D311" t="s">
        <v>48</v>
      </c>
      <c r="E311" t="s">
        <v>55</v>
      </c>
      <c r="F311">
        <v>72594.03</v>
      </c>
    </row>
    <row r="312" spans="1:6" x14ac:dyDescent="0.3">
      <c r="A312">
        <v>2023</v>
      </c>
      <c r="B312">
        <v>4</v>
      </c>
      <c r="C312" t="s">
        <v>37</v>
      </c>
      <c r="D312" t="s">
        <v>48</v>
      </c>
      <c r="E312" t="s">
        <v>56</v>
      </c>
      <c r="F312">
        <v>115404.12</v>
      </c>
    </row>
    <row r="313" spans="1:6" x14ac:dyDescent="0.3">
      <c r="A313">
        <v>2023</v>
      </c>
      <c r="B313">
        <v>4</v>
      </c>
      <c r="C313" t="s">
        <v>40</v>
      </c>
      <c r="D313" t="s">
        <v>48</v>
      </c>
      <c r="E313" t="s">
        <v>56</v>
      </c>
      <c r="F313">
        <v>32101.53</v>
      </c>
    </row>
    <row r="314" spans="1:6" x14ac:dyDescent="0.3">
      <c r="A314">
        <v>2023</v>
      </c>
      <c r="B314">
        <v>4</v>
      </c>
      <c r="C314" t="s">
        <v>41</v>
      </c>
      <c r="D314" t="s">
        <v>48</v>
      </c>
      <c r="E314" t="s">
        <v>56</v>
      </c>
      <c r="F314">
        <v>118165.65</v>
      </c>
    </row>
    <row r="315" spans="1:6" x14ac:dyDescent="0.3">
      <c r="A315">
        <v>2023</v>
      </c>
      <c r="B315">
        <v>4</v>
      </c>
      <c r="C315" t="s">
        <v>42</v>
      </c>
      <c r="D315" t="s">
        <v>48</v>
      </c>
      <c r="E315" t="s">
        <v>56</v>
      </c>
      <c r="F315">
        <v>74617.91</v>
      </c>
    </row>
    <row r="316" spans="1:6" x14ac:dyDescent="0.3">
      <c r="A316">
        <v>2023</v>
      </c>
      <c r="B316">
        <v>4</v>
      </c>
      <c r="C316" t="s">
        <v>43</v>
      </c>
      <c r="D316" t="s">
        <v>48</v>
      </c>
      <c r="E316" t="s">
        <v>56</v>
      </c>
      <c r="F316">
        <v>102765.59</v>
      </c>
    </row>
    <row r="317" spans="1:6" x14ac:dyDescent="0.3">
      <c r="A317">
        <v>2023</v>
      </c>
      <c r="B317">
        <v>4</v>
      </c>
      <c r="C317" t="s">
        <v>44</v>
      </c>
      <c r="D317" t="s">
        <v>48</v>
      </c>
      <c r="E317" t="s">
        <v>56</v>
      </c>
      <c r="F317">
        <v>36357.97</v>
      </c>
    </row>
    <row r="318" spans="1:6" x14ac:dyDescent="0.3">
      <c r="A318">
        <v>2023</v>
      </c>
      <c r="B318">
        <v>4</v>
      </c>
      <c r="C318" t="s">
        <v>45</v>
      </c>
      <c r="D318" t="s">
        <v>48</v>
      </c>
      <c r="E318" t="s">
        <v>56</v>
      </c>
      <c r="F318">
        <v>46330.93</v>
      </c>
    </row>
    <row r="319" spans="1:6" x14ac:dyDescent="0.3">
      <c r="A319">
        <v>2023</v>
      </c>
      <c r="B319">
        <v>4</v>
      </c>
      <c r="C319" t="s">
        <v>37</v>
      </c>
      <c r="D319" t="s">
        <v>57</v>
      </c>
      <c r="E319" t="s">
        <v>58</v>
      </c>
      <c r="F319">
        <v>73834.73</v>
      </c>
    </row>
    <row r="320" spans="1:6" x14ac:dyDescent="0.3">
      <c r="A320">
        <v>2023</v>
      </c>
      <c r="B320">
        <v>4</v>
      </c>
      <c r="C320" t="s">
        <v>37</v>
      </c>
      <c r="D320" t="s">
        <v>57</v>
      </c>
      <c r="E320" t="s">
        <v>59</v>
      </c>
      <c r="F320">
        <v>61965.1</v>
      </c>
    </row>
    <row r="321" spans="1:6" x14ac:dyDescent="0.3">
      <c r="A321">
        <v>2023</v>
      </c>
      <c r="B321">
        <v>4</v>
      </c>
      <c r="C321" t="s">
        <v>37</v>
      </c>
      <c r="D321" t="s">
        <v>57</v>
      </c>
      <c r="E321" t="s">
        <v>60</v>
      </c>
      <c r="F321">
        <v>19503.36</v>
      </c>
    </row>
    <row r="322" spans="1:6" x14ac:dyDescent="0.3">
      <c r="A322">
        <v>2023</v>
      </c>
      <c r="B322">
        <v>5</v>
      </c>
      <c r="C322" t="s">
        <v>37</v>
      </c>
      <c r="D322" t="s">
        <v>38</v>
      </c>
      <c r="E322" t="s">
        <v>39</v>
      </c>
      <c r="F322">
        <v>98572.42</v>
      </c>
    </row>
    <row r="323" spans="1:6" x14ac:dyDescent="0.3">
      <c r="A323">
        <v>2023</v>
      </c>
      <c r="B323">
        <v>5</v>
      </c>
      <c r="C323" t="s">
        <v>40</v>
      </c>
      <c r="D323" t="s">
        <v>38</v>
      </c>
      <c r="E323" t="s">
        <v>39</v>
      </c>
      <c r="F323">
        <v>34921.21</v>
      </c>
    </row>
    <row r="324" spans="1:6" x14ac:dyDescent="0.3">
      <c r="A324">
        <v>2023</v>
      </c>
      <c r="B324">
        <v>5</v>
      </c>
      <c r="C324" t="s">
        <v>41</v>
      </c>
      <c r="D324" t="s">
        <v>38</v>
      </c>
      <c r="E324" t="s">
        <v>39</v>
      </c>
      <c r="F324">
        <v>95311.34</v>
      </c>
    </row>
    <row r="325" spans="1:6" x14ac:dyDescent="0.3">
      <c r="A325">
        <v>2023</v>
      </c>
      <c r="B325">
        <v>5</v>
      </c>
      <c r="C325" t="s">
        <v>42</v>
      </c>
      <c r="D325" t="s">
        <v>38</v>
      </c>
      <c r="E325" t="s">
        <v>39</v>
      </c>
      <c r="F325">
        <v>34661.050000000003</v>
      </c>
    </row>
    <row r="326" spans="1:6" x14ac:dyDescent="0.3">
      <c r="A326">
        <v>2023</v>
      </c>
      <c r="B326">
        <v>5</v>
      </c>
      <c r="C326" t="s">
        <v>43</v>
      </c>
      <c r="D326" t="s">
        <v>38</v>
      </c>
      <c r="E326" t="s">
        <v>39</v>
      </c>
      <c r="F326">
        <v>48236.160000000003</v>
      </c>
    </row>
    <row r="327" spans="1:6" x14ac:dyDescent="0.3">
      <c r="A327">
        <v>2023</v>
      </c>
      <c r="B327">
        <v>5</v>
      </c>
      <c r="C327" t="s">
        <v>44</v>
      </c>
      <c r="D327" t="s">
        <v>38</v>
      </c>
      <c r="E327" t="s">
        <v>39</v>
      </c>
      <c r="F327">
        <v>83878</v>
      </c>
    </row>
    <row r="328" spans="1:6" x14ac:dyDescent="0.3">
      <c r="A328">
        <v>2023</v>
      </c>
      <c r="B328">
        <v>5</v>
      </c>
      <c r="C328" t="s">
        <v>45</v>
      </c>
      <c r="D328" t="s">
        <v>38</v>
      </c>
      <c r="E328" t="s">
        <v>39</v>
      </c>
      <c r="F328">
        <v>73841.67</v>
      </c>
    </row>
    <row r="329" spans="1:6" x14ac:dyDescent="0.3">
      <c r="A329">
        <v>2023</v>
      </c>
      <c r="B329">
        <v>5</v>
      </c>
      <c r="C329" t="s">
        <v>37</v>
      </c>
      <c r="D329" t="s">
        <v>38</v>
      </c>
      <c r="E329" t="s">
        <v>46</v>
      </c>
      <c r="F329">
        <v>115066.56</v>
      </c>
    </row>
    <row r="330" spans="1:6" x14ac:dyDescent="0.3">
      <c r="A330">
        <v>2023</v>
      </c>
      <c r="B330">
        <v>5</v>
      </c>
      <c r="C330" t="s">
        <v>40</v>
      </c>
      <c r="D330" t="s">
        <v>38</v>
      </c>
      <c r="E330" t="s">
        <v>46</v>
      </c>
      <c r="F330">
        <v>63456.74</v>
      </c>
    </row>
    <row r="331" spans="1:6" x14ac:dyDescent="0.3">
      <c r="A331">
        <v>2023</v>
      </c>
      <c r="B331">
        <v>5</v>
      </c>
      <c r="C331" t="s">
        <v>41</v>
      </c>
      <c r="D331" t="s">
        <v>38</v>
      </c>
      <c r="E331" t="s">
        <v>46</v>
      </c>
      <c r="F331">
        <v>81689.87</v>
      </c>
    </row>
    <row r="332" spans="1:6" x14ac:dyDescent="0.3">
      <c r="A332">
        <v>2023</v>
      </c>
      <c r="B332">
        <v>5</v>
      </c>
      <c r="C332" t="s">
        <v>42</v>
      </c>
      <c r="D332" t="s">
        <v>38</v>
      </c>
      <c r="E332" t="s">
        <v>46</v>
      </c>
      <c r="F332">
        <v>50440.959999999999</v>
      </c>
    </row>
    <row r="333" spans="1:6" x14ac:dyDescent="0.3">
      <c r="A333">
        <v>2023</v>
      </c>
      <c r="B333">
        <v>5</v>
      </c>
      <c r="C333" t="s">
        <v>43</v>
      </c>
      <c r="D333" t="s">
        <v>38</v>
      </c>
      <c r="E333" t="s">
        <v>46</v>
      </c>
      <c r="F333">
        <v>12387.23</v>
      </c>
    </row>
    <row r="334" spans="1:6" x14ac:dyDescent="0.3">
      <c r="A334">
        <v>2023</v>
      </c>
      <c r="B334">
        <v>5</v>
      </c>
      <c r="C334" t="s">
        <v>44</v>
      </c>
      <c r="D334" t="s">
        <v>38</v>
      </c>
      <c r="E334" t="s">
        <v>46</v>
      </c>
      <c r="F334">
        <v>15238.25</v>
      </c>
    </row>
    <row r="335" spans="1:6" x14ac:dyDescent="0.3">
      <c r="A335">
        <v>2023</v>
      </c>
      <c r="B335">
        <v>5</v>
      </c>
      <c r="C335" t="s">
        <v>45</v>
      </c>
      <c r="D335" t="s">
        <v>38</v>
      </c>
      <c r="E335" t="s">
        <v>46</v>
      </c>
      <c r="F335">
        <v>49803.44</v>
      </c>
    </row>
    <row r="336" spans="1:6" x14ac:dyDescent="0.3">
      <c r="A336">
        <v>2023</v>
      </c>
      <c r="B336">
        <v>5</v>
      </c>
      <c r="C336" t="s">
        <v>37</v>
      </c>
      <c r="D336" t="s">
        <v>38</v>
      </c>
      <c r="E336" t="s">
        <v>47</v>
      </c>
      <c r="F336">
        <v>103157.96</v>
      </c>
    </row>
    <row r="337" spans="1:6" x14ac:dyDescent="0.3">
      <c r="A337">
        <v>2023</v>
      </c>
      <c r="B337">
        <v>5</v>
      </c>
      <c r="C337" t="s">
        <v>40</v>
      </c>
      <c r="D337" t="s">
        <v>38</v>
      </c>
      <c r="E337" t="s">
        <v>47</v>
      </c>
      <c r="F337">
        <v>25110.799999999999</v>
      </c>
    </row>
    <row r="338" spans="1:6" x14ac:dyDescent="0.3">
      <c r="A338">
        <v>2023</v>
      </c>
      <c r="B338">
        <v>5</v>
      </c>
      <c r="C338" t="s">
        <v>41</v>
      </c>
      <c r="D338" t="s">
        <v>38</v>
      </c>
      <c r="E338" t="s">
        <v>47</v>
      </c>
      <c r="F338">
        <v>110469.99</v>
      </c>
    </row>
    <row r="339" spans="1:6" x14ac:dyDescent="0.3">
      <c r="A339">
        <v>2023</v>
      </c>
      <c r="B339">
        <v>5</v>
      </c>
      <c r="C339" t="s">
        <v>42</v>
      </c>
      <c r="D339" t="s">
        <v>38</v>
      </c>
      <c r="E339" t="s">
        <v>47</v>
      </c>
      <c r="F339">
        <v>33631.910000000003</v>
      </c>
    </row>
    <row r="340" spans="1:6" x14ac:dyDescent="0.3">
      <c r="A340">
        <v>2023</v>
      </c>
      <c r="B340">
        <v>5</v>
      </c>
      <c r="C340" t="s">
        <v>43</v>
      </c>
      <c r="D340" t="s">
        <v>38</v>
      </c>
      <c r="E340" t="s">
        <v>47</v>
      </c>
      <c r="F340">
        <v>20195.71</v>
      </c>
    </row>
    <row r="341" spans="1:6" x14ac:dyDescent="0.3">
      <c r="A341">
        <v>2023</v>
      </c>
      <c r="B341">
        <v>5</v>
      </c>
      <c r="C341" t="s">
        <v>44</v>
      </c>
      <c r="D341" t="s">
        <v>38</v>
      </c>
      <c r="E341" t="s">
        <v>47</v>
      </c>
      <c r="F341">
        <v>32529.31</v>
      </c>
    </row>
    <row r="342" spans="1:6" x14ac:dyDescent="0.3">
      <c r="A342">
        <v>2023</v>
      </c>
      <c r="B342">
        <v>5</v>
      </c>
      <c r="C342" t="s">
        <v>45</v>
      </c>
      <c r="D342" t="s">
        <v>38</v>
      </c>
      <c r="E342" t="s">
        <v>47</v>
      </c>
      <c r="F342">
        <v>95635.77</v>
      </c>
    </row>
    <row r="343" spans="1:6" x14ac:dyDescent="0.3">
      <c r="A343">
        <v>2023</v>
      </c>
      <c r="B343">
        <v>5</v>
      </c>
      <c r="C343" t="s">
        <v>37</v>
      </c>
      <c r="D343" t="s">
        <v>48</v>
      </c>
      <c r="E343" t="s">
        <v>49</v>
      </c>
      <c r="F343">
        <v>39291.86</v>
      </c>
    </row>
    <row r="344" spans="1:6" x14ac:dyDescent="0.3">
      <c r="A344">
        <v>2023</v>
      </c>
      <c r="B344">
        <v>5</v>
      </c>
      <c r="C344" t="s">
        <v>40</v>
      </c>
      <c r="D344" t="s">
        <v>48</v>
      </c>
      <c r="E344" t="s">
        <v>49</v>
      </c>
      <c r="F344">
        <v>74253.38</v>
      </c>
    </row>
    <row r="345" spans="1:6" x14ac:dyDescent="0.3">
      <c r="A345">
        <v>2023</v>
      </c>
      <c r="B345">
        <v>5</v>
      </c>
      <c r="C345" t="s">
        <v>41</v>
      </c>
      <c r="D345" t="s">
        <v>48</v>
      </c>
      <c r="E345" t="s">
        <v>49</v>
      </c>
      <c r="F345">
        <v>38099.31</v>
      </c>
    </row>
    <row r="346" spans="1:6" x14ac:dyDescent="0.3">
      <c r="A346">
        <v>2023</v>
      </c>
      <c r="B346">
        <v>5</v>
      </c>
      <c r="C346" t="s">
        <v>42</v>
      </c>
      <c r="D346" t="s">
        <v>48</v>
      </c>
      <c r="E346" t="s">
        <v>49</v>
      </c>
      <c r="F346">
        <v>45837.68</v>
      </c>
    </row>
    <row r="347" spans="1:6" x14ac:dyDescent="0.3">
      <c r="A347">
        <v>2023</v>
      </c>
      <c r="B347">
        <v>5</v>
      </c>
      <c r="C347" t="s">
        <v>43</v>
      </c>
      <c r="D347" t="s">
        <v>48</v>
      </c>
      <c r="E347" t="s">
        <v>49</v>
      </c>
      <c r="F347">
        <v>56564.57</v>
      </c>
    </row>
    <row r="348" spans="1:6" x14ac:dyDescent="0.3">
      <c r="A348">
        <v>2023</v>
      </c>
      <c r="B348">
        <v>5</v>
      </c>
      <c r="C348" t="s">
        <v>44</v>
      </c>
      <c r="D348" t="s">
        <v>48</v>
      </c>
      <c r="E348" t="s">
        <v>49</v>
      </c>
      <c r="F348">
        <v>60504.09</v>
      </c>
    </row>
    <row r="349" spans="1:6" x14ac:dyDescent="0.3">
      <c r="A349">
        <v>2023</v>
      </c>
      <c r="B349">
        <v>5</v>
      </c>
      <c r="C349" t="s">
        <v>45</v>
      </c>
      <c r="D349" t="s">
        <v>48</v>
      </c>
      <c r="E349" t="s">
        <v>49</v>
      </c>
      <c r="F349">
        <v>79026.23</v>
      </c>
    </row>
    <row r="350" spans="1:6" x14ac:dyDescent="0.3">
      <c r="A350">
        <v>2023</v>
      </c>
      <c r="B350">
        <v>5</v>
      </c>
      <c r="C350" t="s">
        <v>37</v>
      </c>
      <c r="D350" t="s">
        <v>48</v>
      </c>
      <c r="E350" t="s">
        <v>50</v>
      </c>
      <c r="F350">
        <v>67129.679999999993</v>
      </c>
    </row>
    <row r="351" spans="1:6" x14ac:dyDescent="0.3">
      <c r="A351">
        <v>2023</v>
      </c>
      <c r="B351">
        <v>5</v>
      </c>
      <c r="C351" t="s">
        <v>40</v>
      </c>
      <c r="D351" t="s">
        <v>48</v>
      </c>
      <c r="E351" t="s">
        <v>50</v>
      </c>
      <c r="F351">
        <v>84303.89</v>
      </c>
    </row>
    <row r="352" spans="1:6" x14ac:dyDescent="0.3">
      <c r="A352">
        <v>2023</v>
      </c>
      <c r="B352">
        <v>5</v>
      </c>
      <c r="C352" t="s">
        <v>41</v>
      </c>
      <c r="D352" t="s">
        <v>48</v>
      </c>
      <c r="E352" t="s">
        <v>50</v>
      </c>
      <c r="F352">
        <v>98125.61</v>
      </c>
    </row>
    <row r="353" spans="1:6" x14ac:dyDescent="0.3">
      <c r="A353">
        <v>2023</v>
      </c>
      <c r="B353">
        <v>5</v>
      </c>
      <c r="C353" t="s">
        <v>42</v>
      </c>
      <c r="D353" t="s">
        <v>48</v>
      </c>
      <c r="E353" t="s">
        <v>50</v>
      </c>
      <c r="F353">
        <v>107109.14</v>
      </c>
    </row>
    <row r="354" spans="1:6" x14ac:dyDescent="0.3">
      <c r="A354">
        <v>2023</v>
      </c>
      <c r="B354">
        <v>5</v>
      </c>
      <c r="C354" t="s">
        <v>43</v>
      </c>
      <c r="D354" t="s">
        <v>48</v>
      </c>
      <c r="E354" t="s">
        <v>50</v>
      </c>
      <c r="F354">
        <v>34617.79</v>
      </c>
    </row>
    <row r="355" spans="1:6" x14ac:dyDescent="0.3">
      <c r="A355">
        <v>2023</v>
      </c>
      <c r="B355">
        <v>5</v>
      </c>
      <c r="C355" t="s">
        <v>44</v>
      </c>
      <c r="D355" t="s">
        <v>48</v>
      </c>
      <c r="E355" t="s">
        <v>50</v>
      </c>
      <c r="F355">
        <v>10172.02</v>
      </c>
    </row>
    <row r="356" spans="1:6" x14ac:dyDescent="0.3">
      <c r="A356">
        <v>2023</v>
      </c>
      <c r="B356">
        <v>5</v>
      </c>
      <c r="C356" t="s">
        <v>45</v>
      </c>
      <c r="D356" t="s">
        <v>48</v>
      </c>
      <c r="E356" t="s">
        <v>50</v>
      </c>
      <c r="F356">
        <v>12084.01</v>
      </c>
    </row>
    <row r="357" spans="1:6" x14ac:dyDescent="0.3">
      <c r="A357">
        <v>2023</v>
      </c>
      <c r="B357">
        <v>5</v>
      </c>
      <c r="C357" t="s">
        <v>37</v>
      </c>
      <c r="D357" t="s">
        <v>48</v>
      </c>
      <c r="E357" t="s">
        <v>51</v>
      </c>
      <c r="F357">
        <v>30026.79</v>
      </c>
    </row>
    <row r="358" spans="1:6" x14ac:dyDescent="0.3">
      <c r="A358">
        <v>2023</v>
      </c>
      <c r="B358">
        <v>5</v>
      </c>
      <c r="C358" t="s">
        <v>40</v>
      </c>
      <c r="D358" t="s">
        <v>48</v>
      </c>
      <c r="E358" t="s">
        <v>51</v>
      </c>
      <c r="F358">
        <v>43088.18</v>
      </c>
    </row>
    <row r="359" spans="1:6" x14ac:dyDescent="0.3">
      <c r="A359">
        <v>2023</v>
      </c>
      <c r="B359">
        <v>5</v>
      </c>
      <c r="C359" t="s">
        <v>41</v>
      </c>
      <c r="D359" t="s">
        <v>48</v>
      </c>
      <c r="E359" t="s">
        <v>51</v>
      </c>
      <c r="F359">
        <v>107536.16</v>
      </c>
    </row>
    <row r="360" spans="1:6" x14ac:dyDescent="0.3">
      <c r="A360">
        <v>2023</v>
      </c>
      <c r="B360">
        <v>5</v>
      </c>
      <c r="C360" t="s">
        <v>42</v>
      </c>
      <c r="D360" t="s">
        <v>48</v>
      </c>
      <c r="E360" t="s">
        <v>51</v>
      </c>
      <c r="F360">
        <v>26601.81</v>
      </c>
    </row>
    <row r="361" spans="1:6" x14ac:dyDescent="0.3">
      <c r="A361">
        <v>2023</v>
      </c>
      <c r="B361">
        <v>5</v>
      </c>
      <c r="C361" t="s">
        <v>43</v>
      </c>
      <c r="D361" t="s">
        <v>48</v>
      </c>
      <c r="E361" t="s">
        <v>51</v>
      </c>
      <c r="F361">
        <v>19634.97</v>
      </c>
    </row>
    <row r="362" spans="1:6" x14ac:dyDescent="0.3">
      <c r="A362">
        <v>2023</v>
      </c>
      <c r="B362">
        <v>5</v>
      </c>
      <c r="C362" t="s">
        <v>44</v>
      </c>
      <c r="D362" t="s">
        <v>48</v>
      </c>
      <c r="E362" t="s">
        <v>51</v>
      </c>
      <c r="F362">
        <v>77716.3</v>
      </c>
    </row>
    <row r="363" spans="1:6" x14ac:dyDescent="0.3">
      <c r="A363">
        <v>2023</v>
      </c>
      <c r="B363">
        <v>5</v>
      </c>
      <c r="C363" t="s">
        <v>45</v>
      </c>
      <c r="D363" t="s">
        <v>48</v>
      </c>
      <c r="E363" t="s">
        <v>51</v>
      </c>
      <c r="F363">
        <v>115322.62</v>
      </c>
    </row>
    <row r="364" spans="1:6" x14ac:dyDescent="0.3">
      <c r="A364">
        <v>2023</v>
      </c>
      <c r="B364">
        <v>5</v>
      </c>
      <c r="C364" t="s">
        <v>37</v>
      </c>
      <c r="D364" t="s">
        <v>48</v>
      </c>
      <c r="E364" t="s">
        <v>52</v>
      </c>
      <c r="F364">
        <v>83148.789999999994</v>
      </c>
    </row>
    <row r="365" spans="1:6" x14ac:dyDescent="0.3">
      <c r="A365">
        <v>2023</v>
      </c>
      <c r="B365">
        <v>5</v>
      </c>
      <c r="C365" t="s">
        <v>40</v>
      </c>
      <c r="D365" t="s">
        <v>48</v>
      </c>
      <c r="E365" t="s">
        <v>52</v>
      </c>
      <c r="F365">
        <v>65158.74</v>
      </c>
    </row>
    <row r="366" spans="1:6" x14ac:dyDescent="0.3">
      <c r="A366">
        <v>2023</v>
      </c>
      <c r="B366">
        <v>5</v>
      </c>
      <c r="C366" t="s">
        <v>41</v>
      </c>
      <c r="D366" t="s">
        <v>48</v>
      </c>
      <c r="E366" t="s">
        <v>52</v>
      </c>
      <c r="F366">
        <v>53515.89</v>
      </c>
    </row>
    <row r="367" spans="1:6" x14ac:dyDescent="0.3">
      <c r="A367">
        <v>2023</v>
      </c>
      <c r="B367">
        <v>5</v>
      </c>
      <c r="C367" t="s">
        <v>42</v>
      </c>
      <c r="D367" t="s">
        <v>48</v>
      </c>
      <c r="E367" t="s">
        <v>52</v>
      </c>
      <c r="F367">
        <v>60150.44</v>
      </c>
    </row>
    <row r="368" spans="1:6" x14ac:dyDescent="0.3">
      <c r="A368">
        <v>2023</v>
      </c>
      <c r="B368">
        <v>5</v>
      </c>
      <c r="C368" t="s">
        <v>43</v>
      </c>
      <c r="D368" t="s">
        <v>48</v>
      </c>
      <c r="E368" t="s">
        <v>52</v>
      </c>
      <c r="F368">
        <v>30438.54</v>
      </c>
    </row>
    <row r="369" spans="1:6" x14ac:dyDescent="0.3">
      <c r="A369">
        <v>2023</v>
      </c>
      <c r="B369">
        <v>5</v>
      </c>
      <c r="C369" t="s">
        <v>44</v>
      </c>
      <c r="D369" t="s">
        <v>48</v>
      </c>
      <c r="E369" t="s">
        <v>52</v>
      </c>
      <c r="F369">
        <v>49999.34</v>
      </c>
    </row>
    <row r="370" spans="1:6" x14ac:dyDescent="0.3">
      <c r="A370">
        <v>2023</v>
      </c>
      <c r="B370">
        <v>5</v>
      </c>
      <c r="C370" t="s">
        <v>45</v>
      </c>
      <c r="D370" t="s">
        <v>48</v>
      </c>
      <c r="E370" t="s">
        <v>52</v>
      </c>
      <c r="F370">
        <v>65418.02</v>
      </c>
    </row>
    <row r="371" spans="1:6" x14ac:dyDescent="0.3">
      <c r="A371">
        <v>2023</v>
      </c>
      <c r="B371">
        <v>5</v>
      </c>
      <c r="C371" t="s">
        <v>37</v>
      </c>
      <c r="D371" t="s">
        <v>48</v>
      </c>
      <c r="E371" t="s">
        <v>53</v>
      </c>
      <c r="F371">
        <v>56012.94</v>
      </c>
    </row>
    <row r="372" spans="1:6" x14ac:dyDescent="0.3">
      <c r="A372">
        <v>2023</v>
      </c>
      <c r="B372">
        <v>5</v>
      </c>
      <c r="C372" t="s">
        <v>40</v>
      </c>
      <c r="D372" t="s">
        <v>48</v>
      </c>
      <c r="E372" t="s">
        <v>53</v>
      </c>
      <c r="F372">
        <v>39682.559999999998</v>
      </c>
    </row>
    <row r="373" spans="1:6" x14ac:dyDescent="0.3">
      <c r="A373">
        <v>2023</v>
      </c>
      <c r="B373">
        <v>5</v>
      </c>
      <c r="C373" t="s">
        <v>41</v>
      </c>
      <c r="D373" t="s">
        <v>48</v>
      </c>
      <c r="E373" t="s">
        <v>53</v>
      </c>
      <c r="F373">
        <v>96988.479999999996</v>
      </c>
    </row>
    <row r="374" spans="1:6" x14ac:dyDescent="0.3">
      <c r="A374">
        <v>2023</v>
      </c>
      <c r="B374">
        <v>5</v>
      </c>
      <c r="C374" t="s">
        <v>42</v>
      </c>
      <c r="D374" t="s">
        <v>48</v>
      </c>
      <c r="E374" t="s">
        <v>53</v>
      </c>
      <c r="F374">
        <v>115834.17</v>
      </c>
    </row>
    <row r="375" spans="1:6" x14ac:dyDescent="0.3">
      <c r="A375">
        <v>2023</v>
      </c>
      <c r="B375">
        <v>5</v>
      </c>
      <c r="C375" t="s">
        <v>43</v>
      </c>
      <c r="D375" t="s">
        <v>48</v>
      </c>
      <c r="E375" t="s">
        <v>53</v>
      </c>
      <c r="F375">
        <v>51147.28</v>
      </c>
    </row>
    <row r="376" spans="1:6" x14ac:dyDescent="0.3">
      <c r="A376">
        <v>2023</v>
      </c>
      <c r="B376">
        <v>5</v>
      </c>
      <c r="C376" t="s">
        <v>44</v>
      </c>
      <c r="D376" t="s">
        <v>48</v>
      </c>
      <c r="E376" t="s">
        <v>53</v>
      </c>
      <c r="F376">
        <v>32792.800000000003</v>
      </c>
    </row>
    <row r="377" spans="1:6" x14ac:dyDescent="0.3">
      <c r="A377">
        <v>2023</v>
      </c>
      <c r="B377">
        <v>5</v>
      </c>
      <c r="C377" t="s">
        <v>45</v>
      </c>
      <c r="D377" t="s">
        <v>48</v>
      </c>
      <c r="E377" t="s">
        <v>53</v>
      </c>
      <c r="F377">
        <v>46712.76</v>
      </c>
    </row>
    <row r="378" spans="1:6" x14ac:dyDescent="0.3">
      <c r="A378">
        <v>2023</v>
      </c>
      <c r="B378">
        <v>5</v>
      </c>
      <c r="C378" t="s">
        <v>37</v>
      </c>
      <c r="D378" t="s">
        <v>48</v>
      </c>
      <c r="E378" t="s">
        <v>54</v>
      </c>
      <c r="F378">
        <v>23390.87</v>
      </c>
    </row>
    <row r="379" spans="1:6" x14ac:dyDescent="0.3">
      <c r="A379">
        <v>2023</v>
      </c>
      <c r="B379">
        <v>5</v>
      </c>
      <c r="C379" t="s">
        <v>40</v>
      </c>
      <c r="D379" t="s">
        <v>48</v>
      </c>
      <c r="E379" t="s">
        <v>54</v>
      </c>
      <c r="F379">
        <v>66614.929999999993</v>
      </c>
    </row>
    <row r="380" spans="1:6" x14ac:dyDescent="0.3">
      <c r="A380">
        <v>2023</v>
      </c>
      <c r="B380">
        <v>5</v>
      </c>
      <c r="C380" t="s">
        <v>41</v>
      </c>
      <c r="D380" t="s">
        <v>48</v>
      </c>
      <c r="E380" t="s">
        <v>54</v>
      </c>
      <c r="F380">
        <v>71778.47</v>
      </c>
    </row>
    <row r="381" spans="1:6" x14ac:dyDescent="0.3">
      <c r="A381">
        <v>2023</v>
      </c>
      <c r="B381">
        <v>5</v>
      </c>
      <c r="C381" t="s">
        <v>42</v>
      </c>
      <c r="D381" t="s">
        <v>48</v>
      </c>
      <c r="E381" t="s">
        <v>54</v>
      </c>
      <c r="F381">
        <v>29532.880000000001</v>
      </c>
    </row>
    <row r="382" spans="1:6" x14ac:dyDescent="0.3">
      <c r="A382">
        <v>2023</v>
      </c>
      <c r="B382">
        <v>5</v>
      </c>
      <c r="C382" t="s">
        <v>43</v>
      </c>
      <c r="D382" t="s">
        <v>48</v>
      </c>
      <c r="E382" t="s">
        <v>54</v>
      </c>
      <c r="F382">
        <v>70206.320000000007</v>
      </c>
    </row>
    <row r="383" spans="1:6" x14ac:dyDescent="0.3">
      <c r="A383">
        <v>2023</v>
      </c>
      <c r="B383">
        <v>5</v>
      </c>
      <c r="C383" t="s">
        <v>44</v>
      </c>
      <c r="D383" t="s">
        <v>48</v>
      </c>
      <c r="E383" t="s">
        <v>54</v>
      </c>
      <c r="F383">
        <v>117987.39</v>
      </c>
    </row>
    <row r="384" spans="1:6" x14ac:dyDescent="0.3">
      <c r="A384">
        <v>2023</v>
      </c>
      <c r="B384">
        <v>5</v>
      </c>
      <c r="C384" t="s">
        <v>45</v>
      </c>
      <c r="D384" t="s">
        <v>48</v>
      </c>
      <c r="E384" t="s">
        <v>54</v>
      </c>
      <c r="F384">
        <v>77806.350000000006</v>
      </c>
    </row>
    <row r="385" spans="1:6" x14ac:dyDescent="0.3">
      <c r="A385">
        <v>2023</v>
      </c>
      <c r="B385">
        <v>5</v>
      </c>
      <c r="C385" t="s">
        <v>37</v>
      </c>
      <c r="D385" t="s">
        <v>48</v>
      </c>
      <c r="E385" t="s">
        <v>55</v>
      </c>
      <c r="F385">
        <v>95965.25</v>
      </c>
    </row>
    <row r="386" spans="1:6" x14ac:dyDescent="0.3">
      <c r="A386">
        <v>2023</v>
      </c>
      <c r="B386">
        <v>5</v>
      </c>
      <c r="C386" t="s">
        <v>40</v>
      </c>
      <c r="D386" t="s">
        <v>48</v>
      </c>
      <c r="E386" t="s">
        <v>55</v>
      </c>
      <c r="F386">
        <v>67290.929999999993</v>
      </c>
    </row>
    <row r="387" spans="1:6" x14ac:dyDescent="0.3">
      <c r="A387">
        <v>2023</v>
      </c>
      <c r="B387">
        <v>5</v>
      </c>
      <c r="C387" t="s">
        <v>41</v>
      </c>
      <c r="D387" t="s">
        <v>48</v>
      </c>
      <c r="E387" t="s">
        <v>55</v>
      </c>
      <c r="F387">
        <v>103470.25</v>
      </c>
    </row>
    <row r="388" spans="1:6" x14ac:dyDescent="0.3">
      <c r="A388">
        <v>2023</v>
      </c>
      <c r="B388">
        <v>5</v>
      </c>
      <c r="C388" t="s">
        <v>42</v>
      </c>
      <c r="D388" t="s">
        <v>48</v>
      </c>
      <c r="E388" t="s">
        <v>55</v>
      </c>
      <c r="F388">
        <v>66111.17</v>
      </c>
    </row>
    <row r="389" spans="1:6" x14ac:dyDescent="0.3">
      <c r="A389">
        <v>2023</v>
      </c>
      <c r="B389">
        <v>5</v>
      </c>
      <c r="C389" t="s">
        <v>43</v>
      </c>
      <c r="D389" t="s">
        <v>48</v>
      </c>
      <c r="E389" t="s">
        <v>55</v>
      </c>
      <c r="F389">
        <v>30629.07</v>
      </c>
    </row>
    <row r="390" spans="1:6" x14ac:dyDescent="0.3">
      <c r="A390">
        <v>2023</v>
      </c>
      <c r="B390">
        <v>5</v>
      </c>
      <c r="C390" t="s">
        <v>44</v>
      </c>
      <c r="D390" t="s">
        <v>48</v>
      </c>
      <c r="E390" t="s">
        <v>55</v>
      </c>
      <c r="F390">
        <v>100582.13</v>
      </c>
    </row>
    <row r="391" spans="1:6" x14ac:dyDescent="0.3">
      <c r="A391">
        <v>2023</v>
      </c>
      <c r="B391">
        <v>5</v>
      </c>
      <c r="C391" t="s">
        <v>45</v>
      </c>
      <c r="D391" t="s">
        <v>48</v>
      </c>
      <c r="E391" t="s">
        <v>55</v>
      </c>
      <c r="F391">
        <v>33712.57</v>
      </c>
    </row>
    <row r="392" spans="1:6" x14ac:dyDescent="0.3">
      <c r="A392">
        <v>2023</v>
      </c>
      <c r="B392">
        <v>5</v>
      </c>
      <c r="C392" t="s">
        <v>37</v>
      </c>
      <c r="D392" t="s">
        <v>48</v>
      </c>
      <c r="E392" t="s">
        <v>56</v>
      </c>
      <c r="F392">
        <v>117225.07</v>
      </c>
    </row>
    <row r="393" spans="1:6" x14ac:dyDescent="0.3">
      <c r="A393">
        <v>2023</v>
      </c>
      <c r="B393">
        <v>5</v>
      </c>
      <c r="C393" t="s">
        <v>40</v>
      </c>
      <c r="D393" t="s">
        <v>48</v>
      </c>
      <c r="E393" t="s">
        <v>56</v>
      </c>
      <c r="F393">
        <v>39204.49</v>
      </c>
    </row>
    <row r="394" spans="1:6" x14ac:dyDescent="0.3">
      <c r="A394">
        <v>2023</v>
      </c>
      <c r="B394">
        <v>5</v>
      </c>
      <c r="C394" t="s">
        <v>41</v>
      </c>
      <c r="D394" t="s">
        <v>48</v>
      </c>
      <c r="E394" t="s">
        <v>56</v>
      </c>
      <c r="F394">
        <v>81682.44</v>
      </c>
    </row>
    <row r="395" spans="1:6" x14ac:dyDescent="0.3">
      <c r="A395">
        <v>2023</v>
      </c>
      <c r="B395">
        <v>5</v>
      </c>
      <c r="C395" t="s">
        <v>42</v>
      </c>
      <c r="D395" t="s">
        <v>48</v>
      </c>
      <c r="E395" t="s">
        <v>56</v>
      </c>
      <c r="F395">
        <v>50552.45</v>
      </c>
    </row>
    <row r="396" spans="1:6" x14ac:dyDescent="0.3">
      <c r="A396">
        <v>2023</v>
      </c>
      <c r="B396">
        <v>5</v>
      </c>
      <c r="C396" t="s">
        <v>43</v>
      </c>
      <c r="D396" t="s">
        <v>48</v>
      </c>
      <c r="E396" t="s">
        <v>56</v>
      </c>
      <c r="F396">
        <v>105483.47</v>
      </c>
    </row>
    <row r="397" spans="1:6" x14ac:dyDescent="0.3">
      <c r="A397">
        <v>2023</v>
      </c>
      <c r="B397">
        <v>5</v>
      </c>
      <c r="C397" t="s">
        <v>44</v>
      </c>
      <c r="D397" t="s">
        <v>48</v>
      </c>
      <c r="E397" t="s">
        <v>56</v>
      </c>
      <c r="F397">
        <v>18967.37</v>
      </c>
    </row>
    <row r="398" spans="1:6" x14ac:dyDescent="0.3">
      <c r="A398">
        <v>2023</v>
      </c>
      <c r="B398">
        <v>5</v>
      </c>
      <c r="C398" t="s">
        <v>45</v>
      </c>
      <c r="D398" t="s">
        <v>48</v>
      </c>
      <c r="E398" t="s">
        <v>56</v>
      </c>
      <c r="F398">
        <v>44332.24</v>
      </c>
    </row>
    <row r="399" spans="1:6" x14ac:dyDescent="0.3">
      <c r="A399">
        <v>2023</v>
      </c>
      <c r="B399">
        <v>5</v>
      </c>
      <c r="C399" t="s">
        <v>37</v>
      </c>
      <c r="D399" t="s">
        <v>57</v>
      </c>
      <c r="E399" t="s">
        <v>58</v>
      </c>
      <c r="F399">
        <v>84823.7</v>
      </c>
    </row>
    <row r="400" spans="1:6" x14ac:dyDescent="0.3">
      <c r="A400">
        <v>2023</v>
      </c>
      <c r="B400">
        <v>5</v>
      </c>
      <c r="C400" t="s">
        <v>37</v>
      </c>
      <c r="D400" t="s">
        <v>57</v>
      </c>
      <c r="E400" t="s">
        <v>59</v>
      </c>
      <c r="F400">
        <v>29258.11</v>
      </c>
    </row>
    <row r="401" spans="1:6" x14ac:dyDescent="0.3">
      <c r="A401">
        <v>2023</v>
      </c>
      <c r="B401">
        <v>5</v>
      </c>
      <c r="C401" t="s">
        <v>37</v>
      </c>
      <c r="D401" t="s">
        <v>57</v>
      </c>
      <c r="E401" t="s">
        <v>60</v>
      </c>
      <c r="F401">
        <v>106316.34</v>
      </c>
    </row>
    <row r="402" spans="1:6" x14ac:dyDescent="0.3">
      <c r="A402">
        <v>2023</v>
      </c>
      <c r="B402">
        <v>6</v>
      </c>
      <c r="C402" t="s">
        <v>37</v>
      </c>
      <c r="D402" t="s">
        <v>38</v>
      </c>
      <c r="E402" t="s">
        <v>39</v>
      </c>
      <c r="F402">
        <v>25392.7</v>
      </c>
    </row>
    <row r="403" spans="1:6" x14ac:dyDescent="0.3">
      <c r="A403">
        <v>2023</v>
      </c>
      <c r="B403">
        <v>6</v>
      </c>
      <c r="C403" t="s">
        <v>40</v>
      </c>
      <c r="D403" t="s">
        <v>38</v>
      </c>
      <c r="E403" t="s">
        <v>39</v>
      </c>
      <c r="F403">
        <v>19509.27</v>
      </c>
    </row>
    <row r="404" spans="1:6" x14ac:dyDescent="0.3">
      <c r="A404">
        <v>2023</v>
      </c>
      <c r="B404">
        <v>6</v>
      </c>
      <c r="C404" t="s">
        <v>41</v>
      </c>
      <c r="D404" t="s">
        <v>38</v>
      </c>
      <c r="E404" t="s">
        <v>39</v>
      </c>
      <c r="F404">
        <v>102617.72</v>
      </c>
    </row>
    <row r="405" spans="1:6" x14ac:dyDescent="0.3">
      <c r="A405">
        <v>2023</v>
      </c>
      <c r="B405">
        <v>6</v>
      </c>
      <c r="C405" t="s">
        <v>42</v>
      </c>
      <c r="D405" t="s">
        <v>38</v>
      </c>
      <c r="E405" t="s">
        <v>39</v>
      </c>
      <c r="F405">
        <v>35448.11</v>
      </c>
    </row>
    <row r="406" spans="1:6" x14ac:dyDescent="0.3">
      <c r="A406">
        <v>2023</v>
      </c>
      <c r="B406">
        <v>6</v>
      </c>
      <c r="C406" t="s">
        <v>43</v>
      </c>
      <c r="D406" t="s">
        <v>38</v>
      </c>
      <c r="E406" t="s">
        <v>39</v>
      </c>
      <c r="F406">
        <v>79088.800000000003</v>
      </c>
    </row>
    <row r="407" spans="1:6" x14ac:dyDescent="0.3">
      <c r="A407">
        <v>2023</v>
      </c>
      <c r="B407">
        <v>6</v>
      </c>
      <c r="C407" t="s">
        <v>44</v>
      </c>
      <c r="D407" t="s">
        <v>38</v>
      </c>
      <c r="E407" t="s">
        <v>39</v>
      </c>
      <c r="F407">
        <v>44728.01</v>
      </c>
    </row>
    <row r="408" spans="1:6" x14ac:dyDescent="0.3">
      <c r="A408">
        <v>2023</v>
      </c>
      <c r="B408">
        <v>6</v>
      </c>
      <c r="C408" t="s">
        <v>45</v>
      </c>
      <c r="D408" t="s">
        <v>38</v>
      </c>
      <c r="E408" t="s">
        <v>39</v>
      </c>
      <c r="F408">
        <v>47510.99</v>
      </c>
    </row>
    <row r="409" spans="1:6" x14ac:dyDescent="0.3">
      <c r="A409">
        <v>2023</v>
      </c>
      <c r="B409">
        <v>6</v>
      </c>
      <c r="C409" t="s">
        <v>37</v>
      </c>
      <c r="D409" t="s">
        <v>38</v>
      </c>
      <c r="E409" t="s">
        <v>46</v>
      </c>
      <c r="F409">
        <v>74644.14</v>
      </c>
    </row>
    <row r="410" spans="1:6" x14ac:dyDescent="0.3">
      <c r="A410">
        <v>2023</v>
      </c>
      <c r="B410">
        <v>6</v>
      </c>
      <c r="C410" t="s">
        <v>40</v>
      </c>
      <c r="D410" t="s">
        <v>38</v>
      </c>
      <c r="E410" t="s">
        <v>46</v>
      </c>
      <c r="F410">
        <v>49138.31</v>
      </c>
    </row>
    <row r="411" spans="1:6" x14ac:dyDescent="0.3">
      <c r="A411">
        <v>2023</v>
      </c>
      <c r="B411">
        <v>6</v>
      </c>
      <c r="C411" t="s">
        <v>41</v>
      </c>
      <c r="D411" t="s">
        <v>38</v>
      </c>
      <c r="E411" t="s">
        <v>46</v>
      </c>
      <c r="F411">
        <v>58028.57</v>
      </c>
    </row>
    <row r="412" spans="1:6" x14ac:dyDescent="0.3">
      <c r="A412">
        <v>2023</v>
      </c>
      <c r="B412">
        <v>6</v>
      </c>
      <c r="C412" t="s">
        <v>42</v>
      </c>
      <c r="D412" t="s">
        <v>38</v>
      </c>
      <c r="E412" t="s">
        <v>46</v>
      </c>
      <c r="F412">
        <v>50763.3</v>
      </c>
    </row>
    <row r="413" spans="1:6" x14ac:dyDescent="0.3">
      <c r="A413">
        <v>2023</v>
      </c>
      <c r="B413">
        <v>6</v>
      </c>
      <c r="C413" t="s">
        <v>43</v>
      </c>
      <c r="D413" t="s">
        <v>38</v>
      </c>
      <c r="E413" t="s">
        <v>46</v>
      </c>
      <c r="F413">
        <v>91313.71</v>
      </c>
    </row>
    <row r="414" spans="1:6" x14ac:dyDescent="0.3">
      <c r="A414">
        <v>2023</v>
      </c>
      <c r="B414">
        <v>6</v>
      </c>
      <c r="C414" t="s">
        <v>44</v>
      </c>
      <c r="D414" t="s">
        <v>38</v>
      </c>
      <c r="E414" t="s">
        <v>46</v>
      </c>
      <c r="F414">
        <v>50513.5</v>
      </c>
    </row>
    <row r="415" spans="1:6" x14ac:dyDescent="0.3">
      <c r="A415">
        <v>2023</v>
      </c>
      <c r="B415">
        <v>6</v>
      </c>
      <c r="C415" t="s">
        <v>45</v>
      </c>
      <c r="D415" t="s">
        <v>38</v>
      </c>
      <c r="E415" t="s">
        <v>46</v>
      </c>
      <c r="F415">
        <v>78463.899999999994</v>
      </c>
    </row>
    <row r="416" spans="1:6" x14ac:dyDescent="0.3">
      <c r="A416">
        <v>2023</v>
      </c>
      <c r="B416">
        <v>6</v>
      </c>
      <c r="C416" t="s">
        <v>37</v>
      </c>
      <c r="D416" t="s">
        <v>38</v>
      </c>
      <c r="E416" t="s">
        <v>47</v>
      </c>
      <c r="F416">
        <v>26845.7</v>
      </c>
    </row>
    <row r="417" spans="1:6" x14ac:dyDescent="0.3">
      <c r="A417">
        <v>2023</v>
      </c>
      <c r="B417">
        <v>6</v>
      </c>
      <c r="C417" t="s">
        <v>40</v>
      </c>
      <c r="D417" t="s">
        <v>38</v>
      </c>
      <c r="E417" t="s">
        <v>47</v>
      </c>
      <c r="F417">
        <v>29308.720000000001</v>
      </c>
    </row>
    <row r="418" spans="1:6" x14ac:dyDescent="0.3">
      <c r="A418">
        <v>2023</v>
      </c>
      <c r="B418">
        <v>6</v>
      </c>
      <c r="C418" t="s">
        <v>41</v>
      </c>
      <c r="D418" t="s">
        <v>38</v>
      </c>
      <c r="E418" t="s">
        <v>47</v>
      </c>
      <c r="F418">
        <v>49187.13</v>
      </c>
    </row>
    <row r="419" spans="1:6" x14ac:dyDescent="0.3">
      <c r="A419">
        <v>2023</v>
      </c>
      <c r="B419">
        <v>6</v>
      </c>
      <c r="C419" t="s">
        <v>42</v>
      </c>
      <c r="D419" t="s">
        <v>38</v>
      </c>
      <c r="E419" t="s">
        <v>47</v>
      </c>
      <c r="F419">
        <v>35259.99</v>
      </c>
    </row>
    <row r="420" spans="1:6" x14ac:dyDescent="0.3">
      <c r="A420">
        <v>2023</v>
      </c>
      <c r="B420">
        <v>6</v>
      </c>
      <c r="C420" t="s">
        <v>43</v>
      </c>
      <c r="D420" t="s">
        <v>38</v>
      </c>
      <c r="E420" t="s">
        <v>47</v>
      </c>
      <c r="F420">
        <v>92486.38</v>
      </c>
    </row>
    <row r="421" spans="1:6" x14ac:dyDescent="0.3">
      <c r="A421">
        <v>2023</v>
      </c>
      <c r="B421">
        <v>6</v>
      </c>
      <c r="C421" t="s">
        <v>44</v>
      </c>
      <c r="D421" t="s">
        <v>38</v>
      </c>
      <c r="E421" t="s">
        <v>47</v>
      </c>
      <c r="F421">
        <v>32339.1</v>
      </c>
    </row>
    <row r="422" spans="1:6" x14ac:dyDescent="0.3">
      <c r="A422">
        <v>2023</v>
      </c>
      <c r="B422">
        <v>6</v>
      </c>
      <c r="C422" t="s">
        <v>45</v>
      </c>
      <c r="D422" t="s">
        <v>38</v>
      </c>
      <c r="E422" t="s">
        <v>47</v>
      </c>
      <c r="F422">
        <v>16763.64</v>
      </c>
    </row>
    <row r="423" spans="1:6" x14ac:dyDescent="0.3">
      <c r="A423">
        <v>2023</v>
      </c>
      <c r="B423">
        <v>6</v>
      </c>
      <c r="C423" t="s">
        <v>37</v>
      </c>
      <c r="D423" t="s">
        <v>48</v>
      </c>
      <c r="E423" t="s">
        <v>49</v>
      </c>
      <c r="F423">
        <v>48652.9</v>
      </c>
    </row>
    <row r="424" spans="1:6" x14ac:dyDescent="0.3">
      <c r="A424">
        <v>2023</v>
      </c>
      <c r="B424">
        <v>6</v>
      </c>
      <c r="C424" t="s">
        <v>40</v>
      </c>
      <c r="D424" t="s">
        <v>48</v>
      </c>
      <c r="E424" t="s">
        <v>49</v>
      </c>
      <c r="F424">
        <v>10848.79</v>
      </c>
    </row>
    <row r="425" spans="1:6" x14ac:dyDescent="0.3">
      <c r="A425">
        <v>2023</v>
      </c>
      <c r="B425">
        <v>6</v>
      </c>
      <c r="C425" t="s">
        <v>41</v>
      </c>
      <c r="D425" t="s">
        <v>48</v>
      </c>
      <c r="E425" t="s">
        <v>49</v>
      </c>
      <c r="F425">
        <v>97531.49</v>
      </c>
    </row>
    <row r="426" spans="1:6" x14ac:dyDescent="0.3">
      <c r="A426">
        <v>2023</v>
      </c>
      <c r="B426">
        <v>6</v>
      </c>
      <c r="C426" t="s">
        <v>42</v>
      </c>
      <c r="D426" t="s">
        <v>48</v>
      </c>
      <c r="E426" t="s">
        <v>49</v>
      </c>
      <c r="F426">
        <v>53553.93</v>
      </c>
    </row>
    <row r="427" spans="1:6" x14ac:dyDescent="0.3">
      <c r="A427">
        <v>2023</v>
      </c>
      <c r="B427">
        <v>6</v>
      </c>
      <c r="C427" t="s">
        <v>43</v>
      </c>
      <c r="D427" t="s">
        <v>48</v>
      </c>
      <c r="E427" t="s">
        <v>49</v>
      </c>
      <c r="F427">
        <v>37259.43</v>
      </c>
    </row>
    <row r="428" spans="1:6" x14ac:dyDescent="0.3">
      <c r="A428">
        <v>2023</v>
      </c>
      <c r="B428">
        <v>6</v>
      </c>
      <c r="C428" t="s">
        <v>44</v>
      </c>
      <c r="D428" t="s">
        <v>48</v>
      </c>
      <c r="E428" t="s">
        <v>49</v>
      </c>
      <c r="F428">
        <v>116332.26</v>
      </c>
    </row>
    <row r="429" spans="1:6" x14ac:dyDescent="0.3">
      <c r="A429">
        <v>2023</v>
      </c>
      <c r="B429">
        <v>6</v>
      </c>
      <c r="C429" t="s">
        <v>45</v>
      </c>
      <c r="D429" t="s">
        <v>48</v>
      </c>
      <c r="E429" t="s">
        <v>49</v>
      </c>
      <c r="F429">
        <v>14049.11</v>
      </c>
    </row>
    <row r="430" spans="1:6" x14ac:dyDescent="0.3">
      <c r="A430">
        <v>2023</v>
      </c>
      <c r="B430">
        <v>6</v>
      </c>
      <c r="C430" t="s">
        <v>37</v>
      </c>
      <c r="D430" t="s">
        <v>48</v>
      </c>
      <c r="E430" t="s">
        <v>50</v>
      </c>
      <c r="F430">
        <v>60589.17</v>
      </c>
    </row>
    <row r="431" spans="1:6" x14ac:dyDescent="0.3">
      <c r="A431">
        <v>2023</v>
      </c>
      <c r="B431">
        <v>6</v>
      </c>
      <c r="C431" t="s">
        <v>40</v>
      </c>
      <c r="D431" t="s">
        <v>48</v>
      </c>
      <c r="E431" t="s">
        <v>50</v>
      </c>
      <c r="F431">
        <v>59905.81</v>
      </c>
    </row>
    <row r="432" spans="1:6" x14ac:dyDescent="0.3">
      <c r="A432">
        <v>2023</v>
      </c>
      <c r="B432">
        <v>6</v>
      </c>
      <c r="C432" t="s">
        <v>41</v>
      </c>
      <c r="D432" t="s">
        <v>48</v>
      </c>
      <c r="E432" t="s">
        <v>50</v>
      </c>
      <c r="F432">
        <v>60859.64</v>
      </c>
    </row>
    <row r="433" spans="1:6" x14ac:dyDescent="0.3">
      <c r="A433">
        <v>2023</v>
      </c>
      <c r="B433">
        <v>6</v>
      </c>
      <c r="C433" t="s">
        <v>42</v>
      </c>
      <c r="D433" t="s">
        <v>48</v>
      </c>
      <c r="E433" t="s">
        <v>50</v>
      </c>
      <c r="F433">
        <v>116514.95</v>
      </c>
    </row>
    <row r="434" spans="1:6" x14ac:dyDescent="0.3">
      <c r="A434">
        <v>2023</v>
      </c>
      <c r="B434">
        <v>6</v>
      </c>
      <c r="C434" t="s">
        <v>43</v>
      </c>
      <c r="D434" t="s">
        <v>48</v>
      </c>
      <c r="E434" t="s">
        <v>50</v>
      </c>
      <c r="F434">
        <v>17570.64</v>
      </c>
    </row>
    <row r="435" spans="1:6" x14ac:dyDescent="0.3">
      <c r="A435">
        <v>2023</v>
      </c>
      <c r="B435">
        <v>6</v>
      </c>
      <c r="C435" t="s">
        <v>44</v>
      </c>
      <c r="D435" t="s">
        <v>48</v>
      </c>
      <c r="E435" t="s">
        <v>50</v>
      </c>
      <c r="F435">
        <v>10318.799999999999</v>
      </c>
    </row>
    <row r="436" spans="1:6" x14ac:dyDescent="0.3">
      <c r="A436">
        <v>2023</v>
      </c>
      <c r="B436">
        <v>6</v>
      </c>
      <c r="C436" t="s">
        <v>45</v>
      </c>
      <c r="D436" t="s">
        <v>48</v>
      </c>
      <c r="E436" t="s">
        <v>50</v>
      </c>
      <c r="F436">
        <v>104886.92</v>
      </c>
    </row>
    <row r="437" spans="1:6" x14ac:dyDescent="0.3">
      <c r="A437">
        <v>2023</v>
      </c>
      <c r="B437">
        <v>6</v>
      </c>
      <c r="C437" t="s">
        <v>37</v>
      </c>
      <c r="D437" t="s">
        <v>48</v>
      </c>
      <c r="E437" t="s">
        <v>51</v>
      </c>
      <c r="F437">
        <v>27049.73</v>
      </c>
    </row>
    <row r="438" spans="1:6" x14ac:dyDescent="0.3">
      <c r="A438">
        <v>2023</v>
      </c>
      <c r="B438">
        <v>6</v>
      </c>
      <c r="C438" t="s">
        <v>40</v>
      </c>
      <c r="D438" t="s">
        <v>48</v>
      </c>
      <c r="E438" t="s">
        <v>51</v>
      </c>
      <c r="F438">
        <v>25273.05</v>
      </c>
    </row>
    <row r="439" spans="1:6" x14ac:dyDescent="0.3">
      <c r="A439">
        <v>2023</v>
      </c>
      <c r="B439">
        <v>6</v>
      </c>
      <c r="C439" t="s">
        <v>41</v>
      </c>
      <c r="D439" t="s">
        <v>48</v>
      </c>
      <c r="E439" t="s">
        <v>51</v>
      </c>
      <c r="F439">
        <v>86760.67</v>
      </c>
    </row>
    <row r="440" spans="1:6" x14ac:dyDescent="0.3">
      <c r="A440">
        <v>2023</v>
      </c>
      <c r="B440">
        <v>6</v>
      </c>
      <c r="C440" t="s">
        <v>42</v>
      </c>
      <c r="D440" t="s">
        <v>48</v>
      </c>
      <c r="E440" t="s">
        <v>51</v>
      </c>
      <c r="F440">
        <v>16167.15</v>
      </c>
    </row>
    <row r="441" spans="1:6" x14ac:dyDescent="0.3">
      <c r="A441">
        <v>2023</v>
      </c>
      <c r="B441">
        <v>6</v>
      </c>
      <c r="C441" t="s">
        <v>43</v>
      </c>
      <c r="D441" t="s">
        <v>48</v>
      </c>
      <c r="E441" t="s">
        <v>51</v>
      </c>
      <c r="F441">
        <v>43525.97</v>
      </c>
    </row>
    <row r="442" spans="1:6" x14ac:dyDescent="0.3">
      <c r="A442">
        <v>2023</v>
      </c>
      <c r="B442">
        <v>6</v>
      </c>
      <c r="C442" t="s">
        <v>44</v>
      </c>
      <c r="D442" t="s">
        <v>48</v>
      </c>
      <c r="E442" t="s">
        <v>51</v>
      </c>
      <c r="F442">
        <v>94817.58</v>
      </c>
    </row>
    <row r="443" spans="1:6" x14ac:dyDescent="0.3">
      <c r="A443">
        <v>2023</v>
      </c>
      <c r="B443">
        <v>6</v>
      </c>
      <c r="C443" t="s">
        <v>45</v>
      </c>
      <c r="D443" t="s">
        <v>48</v>
      </c>
      <c r="E443" t="s">
        <v>51</v>
      </c>
      <c r="F443">
        <v>61777.08</v>
      </c>
    </row>
    <row r="444" spans="1:6" x14ac:dyDescent="0.3">
      <c r="A444">
        <v>2023</v>
      </c>
      <c r="B444">
        <v>6</v>
      </c>
      <c r="C444" t="s">
        <v>37</v>
      </c>
      <c r="D444" t="s">
        <v>48</v>
      </c>
      <c r="E444" t="s">
        <v>52</v>
      </c>
      <c r="F444">
        <v>41020.42</v>
      </c>
    </row>
    <row r="445" spans="1:6" x14ac:dyDescent="0.3">
      <c r="A445">
        <v>2023</v>
      </c>
      <c r="B445">
        <v>6</v>
      </c>
      <c r="C445" t="s">
        <v>40</v>
      </c>
      <c r="D445" t="s">
        <v>48</v>
      </c>
      <c r="E445" t="s">
        <v>52</v>
      </c>
      <c r="F445">
        <v>62037.63</v>
      </c>
    </row>
    <row r="446" spans="1:6" x14ac:dyDescent="0.3">
      <c r="A446">
        <v>2023</v>
      </c>
      <c r="B446">
        <v>6</v>
      </c>
      <c r="C446" t="s">
        <v>41</v>
      </c>
      <c r="D446" t="s">
        <v>48</v>
      </c>
      <c r="E446" t="s">
        <v>52</v>
      </c>
      <c r="F446">
        <v>75871.11</v>
      </c>
    </row>
    <row r="447" spans="1:6" x14ac:dyDescent="0.3">
      <c r="A447">
        <v>2023</v>
      </c>
      <c r="B447">
        <v>6</v>
      </c>
      <c r="C447" t="s">
        <v>42</v>
      </c>
      <c r="D447" t="s">
        <v>48</v>
      </c>
      <c r="E447" t="s">
        <v>52</v>
      </c>
      <c r="F447">
        <v>21910.03</v>
      </c>
    </row>
    <row r="448" spans="1:6" x14ac:dyDescent="0.3">
      <c r="A448">
        <v>2023</v>
      </c>
      <c r="B448">
        <v>6</v>
      </c>
      <c r="C448" t="s">
        <v>43</v>
      </c>
      <c r="D448" t="s">
        <v>48</v>
      </c>
      <c r="E448" t="s">
        <v>52</v>
      </c>
      <c r="F448">
        <v>76747.09</v>
      </c>
    </row>
    <row r="449" spans="1:6" x14ac:dyDescent="0.3">
      <c r="A449">
        <v>2023</v>
      </c>
      <c r="B449">
        <v>6</v>
      </c>
      <c r="C449" t="s">
        <v>44</v>
      </c>
      <c r="D449" t="s">
        <v>48</v>
      </c>
      <c r="E449" t="s">
        <v>52</v>
      </c>
      <c r="F449">
        <v>80376.63</v>
      </c>
    </row>
    <row r="450" spans="1:6" x14ac:dyDescent="0.3">
      <c r="A450">
        <v>2023</v>
      </c>
      <c r="B450">
        <v>6</v>
      </c>
      <c r="C450" t="s">
        <v>45</v>
      </c>
      <c r="D450" t="s">
        <v>48</v>
      </c>
      <c r="E450" t="s">
        <v>52</v>
      </c>
      <c r="F450">
        <v>51875.05</v>
      </c>
    </row>
    <row r="451" spans="1:6" x14ac:dyDescent="0.3">
      <c r="A451">
        <v>2023</v>
      </c>
      <c r="B451">
        <v>6</v>
      </c>
      <c r="C451" t="s">
        <v>37</v>
      </c>
      <c r="D451" t="s">
        <v>48</v>
      </c>
      <c r="E451" t="s">
        <v>53</v>
      </c>
      <c r="F451">
        <v>98393.39</v>
      </c>
    </row>
    <row r="452" spans="1:6" x14ac:dyDescent="0.3">
      <c r="A452">
        <v>2023</v>
      </c>
      <c r="B452">
        <v>6</v>
      </c>
      <c r="C452" t="s">
        <v>40</v>
      </c>
      <c r="D452" t="s">
        <v>48</v>
      </c>
      <c r="E452" t="s">
        <v>53</v>
      </c>
      <c r="F452">
        <v>56037.19</v>
      </c>
    </row>
    <row r="453" spans="1:6" x14ac:dyDescent="0.3">
      <c r="A453">
        <v>2023</v>
      </c>
      <c r="B453">
        <v>6</v>
      </c>
      <c r="C453" t="s">
        <v>41</v>
      </c>
      <c r="D453" t="s">
        <v>48</v>
      </c>
      <c r="E453" t="s">
        <v>53</v>
      </c>
      <c r="F453">
        <v>56889.25</v>
      </c>
    </row>
    <row r="454" spans="1:6" x14ac:dyDescent="0.3">
      <c r="A454">
        <v>2023</v>
      </c>
      <c r="B454">
        <v>6</v>
      </c>
      <c r="C454" t="s">
        <v>42</v>
      </c>
      <c r="D454" t="s">
        <v>48</v>
      </c>
      <c r="E454" t="s">
        <v>53</v>
      </c>
      <c r="F454">
        <v>90748.36</v>
      </c>
    </row>
    <row r="455" spans="1:6" x14ac:dyDescent="0.3">
      <c r="A455">
        <v>2023</v>
      </c>
      <c r="B455">
        <v>6</v>
      </c>
      <c r="C455" t="s">
        <v>43</v>
      </c>
      <c r="D455" t="s">
        <v>48</v>
      </c>
      <c r="E455" t="s">
        <v>53</v>
      </c>
      <c r="F455">
        <v>25695.29</v>
      </c>
    </row>
    <row r="456" spans="1:6" x14ac:dyDescent="0.3">
      <c r="A456">
        <v>2023</v>
      </c>
      <c r="B456">
        <v>6</v>
      </c>
      <c r="C456" t="s">
        <v>44</v>
      </c>
      <c r="D456" t="s">
        <v>48</v>
      </c>
      <c r="E456" t="s">
        <v>53</v>
      </c>
      <c r="F456">
        <v>61200.85</v>
      </c>
    </row>
    <row r="457" spans="1:6" x14ac:dyDescent="0.3">
      <c r="A457">
        <v>2023</v>
      </c>
      <c r="B457">
        <v>6</v>
      </c>
      <c r="C457" t="s">
        <v>45</v>
      </c>
      <c r="D457" t="s">
        <v>48</v>
      </c>
      <c r="E457" t="s">
        <v>53</v>
      </c>
      <c r="F457">
        <v>84795.77</v>
      </c>
    </row>
    <row r="458" spans="1:6" x14ac:dyDescent="0.3">
      <c r="A458">
        <v>2023</v>
      </c>
      <c r="B458">
        <v>6</v>
      </c>
      <c r="C458" t="s">
        <v>37</v>
      </c>
      <c r="D458" t="s">
        <v>48</v>
      </c>
      <c r="E458" t="s">
        <v>54</v>
      </c>
      <c r="F458">
        <v>59171.25</v>
      </c>
    </row>
    <row r="459" spans="1:6" x14ac:dyDescent="0.3">
      <c r="A459">
        <v>2023</v>
      </c>
      <c r="B459">
        <v>6</v>
      </c>
      <c r="C459" t="s">
        <v>40</v>
      </c>
      <c r="D459" t="s">
        <v>48</v>
      </c>
      <c r="E459" t="s">
        <v>54</v>
      </c>
      <c r="F459">
        <v>26477.03</v>
      </c>
    </row>
    <row r="460" spans="1:6" x14ac:dyDescent="0.3">
      <c r="A460">
        <v>2023</v>
      </c>
      <c r="B460">
        <v>6</v>
      </c>
      <c r="C460" t="s">
        <v>41</v>
      </c>
      <c r="D460" t="s">
        <v>48</v>
      </c>
      <c r="E460" t="s">
        <v>54</v>
      </c>
      <c r="F460">
        <v>17809.78</v>
      </c>
    </row>
    <row r="461" spans="1:6" x14ac:dyDescent="0.3">
      <c r="A461">
        <v>2023</v>
      </c>
      <c r="B461">
        <v>6</v>
      </c>
      <c r="C461" t="s">
        <v>42</v>
      </c>
      <c r="D461" t="s">
        <v>48</v>
      </c>
      <c r="E461" t="s">
        <v>54</v>
      </c>
      <c r="F461">
        <v>56046.38</v>
      </c>
    </row>
    <row r="462" spans="1:6" x14ac:dyDescent="0.3">
      <c r="A462">
        <v>2023</v>
      </c>
      <c r="B462">
        <v>6</v>
      </c>
      <c r="C462" t="s">
        <v>43</v>
      </c>
      <c r="D462" t="s">
        <v>48</v>
      </c>
      <c r="E462" t="s">
        <v>54</v>
      </c>
      <c r="F462">
        <v>109651.06</v>
      </c>
    </row>
    <row r="463" spans="1:6" x14ac:dyDescent="0.3">
      <c r="A463">
        <v>2023</v>
      </c>
      <c r="B463">
        <v>6</v>
      </c>
      <c r="C463" t="s">
        <v>44</v>
      </c>
      <c r="D463" t="s">
        <v>48</v>
      </c>
      <c r="E463" t="s">
        <v>54</v>
      </c>
      <c r="F463">
        <v>108967.91</v>
      </c>
    </row>
    <row r="464" spans="1:6" x14ac:dyDescent="0.3">
      <c r="A464">
        <v>2023</v>
      </c>
      <c r="B464">
        <v>6</v>
      </c>
      <c r="C464" t="s">
        <v>45</v>
      </c>
      <c r="D464" t="s">
        <v>48</v>
      </c>
      <c r="E464" t="s">
        <v>54</v>
      </c>
      <c r="F464">
        <v>79034.48</v>
      </c>
    </row>
    <row r="465" spans="1:6" x14ac:dyDescent="0.3">
      <c r="A465">
        <v>2023</v>
      </c>
      <c r="B465">
        <v>6</v>
      </c>
      <c r="C465" t="s">
        <v>37</v>
      </c>
      <c r="D465" t="s">
        <v>48</v>
      </c>
      <c r="E465" t="s">
        <v>55</v>
      </c>
      <c r="F465">
        <v>19095.310000000001</v>
      </c>
    </row>
    <row r="466" spans="1:6" x14ac:dyDescent="0.3">
      <c r="A466">
        <v>2023</v>
      </c>
      <c r="B466">
        <v>6</v>
      </c>
      <c r="C466" t="s">
        <v>40</v>
      </c>
      <c r="D466" t="s">
        <v>48</v>
      </c>
      <c r="E466" t="s">
        <v>55</v>
      </c>
      <c r="F466">
        <v>36614.97</v>
      </c>
    </row>
    <row r="467" spans="1:6" x14ac:dyDescent="0.3">
      <c r="A467">
        <v>2023</v>
      </c>
      <c r="B467">
        <v>6</v>
      </c>
      <c r="C467" t="s">
        <v>41</v>
      </c>
      <c r="D467" t="s">
        <v>48</v>
      </c>
      <c r="E467" t="s">
        <v>55</v>
      </c>
      <c r="F467">
        <v>52137.87</v>
      </c>
    </row>
    <row r="468" spans="1:6" x14ac:dyDescent="0.3">
      <c r="A468">
        <v>2023</v>
      </c>
      <c r="B468">
        <v>6</v>
      </c>
      <c r="C468" t="s">
        <v>42</v>
      </c>
      <c r="D468" t="s">
        <v>48</v>
      </c>
      <c r="E468" t="s">
        <v>55</v>
      </c>
      <c r="F468">
        <v>42648</v>
      </c>
    </row>
    <row r="469" spans="1:6" x14ac:dyDescent="0.3">
      <c r="A469">
        <v>2023</v>
      </c>
      <c r="B469">
        <v>6</v>
      </c>
      <c r="C469" t="s">
        <v>43</v>
      </c>
      <c r="D469" t="s">
        <v>48</v>
      </c>
      <c r="E469" t="s">
        <v>55</v>
      </c>
      <c r="F469">
        <v>95696.37</v>
      </c>
    </row>
    <row r="470" spans="1:6" x14ac:dyDescent="0.3">
      <c r="A470">
        <v>2023</v>
      </c>
      <c r="B470">
        <v>6</v>
      </c>
      <c r="C470" t="s">
        <v>44</v>
      </c>
      <c r="D470" t="s">
        <v>48</v>
      </c>
      <c r="E470" t="s">
        <v>55</v>
      </c>
      <c r="F470">
        <v>59592.09</v>
      </c>
    </row>
    <row r="471" spans="1:6" x14ac:dyDescent="0.3">
      <c r="A471">
        <v>2023</v>
      </c>
      <c r="B471">
        <v>6</v>
      </c>
      <c r="C471" t="s">
        <v>45</v>
      </c>
      <c r="D471" t="s">
        <v>48</v>
      </c>
      <c r="E471" t="s">
        <v>55</v>
      </c>
      <c r="F471">
        <v>102462.44</v>
      </c>
    </row>
    <row r="472" spans="1:6" x14ac:dyDescent="0.3">
      <c r="A472">
        <v>2023</v>
      </c>
      <c r="B472">
        <v>6</v>
      </c>
      <c r="C472" t="s">
        <v>37</v>
      </c>
      <c r="D472" t="s">
        <v>48</v>
      </c>
      <c r="E472" t="s">
        <v>56</v>
      </c>
      <c r="F472">
        <v>29757.68</v>
      </c>
    </row>
    <row r="473" spans="1:6" x14ac:dyDescent="0.3">
      <c r="A473">
        <v>2023</v>
      </c>
      <c r="B473">
        <v>6</v>
      </c>
      <c r="C473" t="s">
        <v>40</v>
      </c>
      <c r="D473" t="s">
        <v>48</v>
      </c>
      <c r="E473" t="s">
        <v>56</v>
      </c>
      <c r="F473">
        <v>60016.41</v>
      </c>
    </row>
    <row r="474" spans="1:6" x14ac:dyDescent="0.3">
      <c r="A474">
        <v>2023</v>
      </c>
      <c r="B474">
        <v>6</v>
      </c>
      <c r="C474" t="s">
        <v>41</v>
      </c>
      <c r="D474" t="s">
        <v>48</v>
      </c>
      <c r="E474" t="s">
        <v>56</v>
      </c>
      <c r="F474">
        <v>116902.26</v>
      </c>
    </row>
    <row r="475" spans="1:6" x14ac:dyDescent="0.3">
      <c r="A475">
        <v>2023</v>
      </c>
      <c r="B475">
        <v>6</v>
      </c>
      <c r="C475" t="s">
        <v>42</v>
      </c>
      <c r="D475" t="s">
        <v>48</v>
      </c>
      <c r="E475" t="s">
        <v>56</v>
      </c>
      <c r="F475">
        <v>13527.39</v>
      </c>
    </row>
    <row r="476" spans="1:6" x14ac:dyDescent="0.3">
      <c r="A476">
        <v>2023</v>
      </c>
      <c r="B476">
        <v>6</v>
      </c>
      <c r="C476" t="s">
        <v>43</v>
      </c>
      <c r="D476" t="s">
        <v>48</v>
      </c>
      <c r="E476" t="s">
        <v>56</v>
      </c>
      <c r="F476">
        <v>53048.58</v>
      </c>
    </row>
    <row r="477" spans="1:6" x14ac:dyDescent="0.3">
      <c r="A477">
        <v>2023</v>
      </c>
      <c r="B477">
        <v>6</v>
      </c>
      <c r="C477" t="s">
        <v>44</v>
      </c>
      <c r="D477" t="s">
        <v>48</v>
      </c>
      <c r="E477" t="s">
        <v>56</v>
      </c>
      <c r="F477">
        <v>96491.87</v>
      </c>
    </row>
    <row r="478" spans="1:6" x14ac:dyDescent="0.3">
      <c r="A478">
        <v>2023</v>
      </c>
      <c r="B478">
        <v>6</v>
      </c>
      <c r="C478" t="s">
        <v>45</v>
      </c>
      <c r="D478" t="s">
        <v>48</v>
      </c>
      <c r="E478" t="s">
        <v>56</v>
      </c>
      <c r="F478">
        <v>51645.03</v>
      </c>
    </row>
    <row r="479" spans="1:6" x14ac:dyDescent="0.3">
      <c r="A479">
        <v>2023</v>
      </c>
      <c r="B479">
        <v>6</v>
      </c>
      <c r="C479" t="s">
        <v>37</v>
      </c>
      <c r="D479" t="s">
        <v>57</v>
      </c>
      <c r="E479" t="s">
        <v>58</v>
      </c>
      <c r="F479">
        <v>111996.67</v>
      </c>
    </row>
    <row r="480" spans="1:6" x14ac:dyDescent="0.3">
      <c r="A480">
        <v>2023</v>
      </c>
      <c r="B480">
        <v>6</v>
      </c>
      <c r="C480" t="s">
        <v>37</v>
      </c>
      <c r="D480" t="s">
        <v>57</v>
      </c>
      <c r="E480" t="s">
        <v>59</v>
      </c>
      <c r="F480">
        <v>24311</v>
      </c>
    </row>
    <row r="481" spans="1:6" x14ac:dyDescent="0.3">
      <c r="A481">
        <v>2023</v>
      </c>
      <c r="B481">
        <v>6</v>
      </c>
      <c r="C481" t="s">
        <v>37</v>
      </c>
      <c r="D481" t="s">
        <v>57</v>
      </c>
      <c r="E481" t="s">
        <v>60</v>
      </c>
      <c r="F481">
        <v>19016.849999999999</v>
      </c>
    </row>
    <row r="482" spans="1:6" x14ac:dyDescent="0.3">
      <c r="A482">
        <v>2023</v>
      </c>
      <c r="B482">
        <v>7</v>
      </c>
      <c r="C482" t="s">
        <v>37</v>
      </c>
      <c r="D482" t="s">
        <v>38</v>
      </c>
      <c r="E482" t="s">
        <v>39</v>
      </c>
      <c r="F482">
        <v>48187.74</v>
      </c>
    </row>
    <row r="483" spans="1:6" x14ac:dyDescent="0.3">
      <c r="A483">
        <v>2023</v>
      </c>
      <c r="B483">
        <v>7</v>
      </c>
      <c r="C483" t="s">
        <v>40</v>
      </c>
      <c r="D483" t="s">
        <v>38</v>
      </c>
      <c r="E483" t="s">
        <v>39</v>
      </c>
      <c r="F483">
        <v>105712.47</v>
      </c>
    </row>
    <row r="484" spans="1:6" x14ac:dyDescent="0.3">
      <c r="A484">
        <v>2023</v>
      </c>
      <c r="B484">
        <v>7</v>
      </c>
      <c r="C484" t="s">
        <v>41</v>
      </c>
      <c r="D484" t="s">
        <v>38</v>
      </c>
      <c r="E484" t="s">
        <v>39</v>
      </c>
      <c r="F484">
        <v>100065.33</v>
      </c>
    </row>
    <row r="485" spans="1:6" x14ac:dyDescent="0.3">
      <c r="A485">
        <v>2023</v>
      </c>
      <c r="B485">
        <v>7</v>
      </c>
      <c r="C485" t="s">
        <v>42</v>
      </c>
      <c r="D485" t="s">
        <v>38</v>
      </c>
      <c r="E485" t="s">
        <v>39</v>
      </c>
      <c r="F485">
        <v>99603.99</v>
      </c>
    </row>
    <row r="486" spans="1:6" x14ac:dyDescent="0.3">
      <c r="A486">
        <v>2023</v>
      </c>
      <c r="B486">
        <v>7</v>
      </c>
      <c r="C486" t="s">
        <v>43</v>
      </c>
      <c r="D486" t="s">
        <v>38</v>
      </c>
      <c r="E486" t="s">
        <v>39</v>
      </c>
      <c r="F486">
        <v>106903.54</v>
      </c>
    </row>
    <row r="487" spans="1:6" x14ac:dyDescent="0.3">
      <c r="A487">
        <v>2023</v>
      </c>
      <c r="B487">
        <v>7</v>
      </c>
      <c r="C487" t="s">
        <v>44</v>
      </c>
      <c r="D487" t="s">
        <v>38</v>
      </c>
      <c r="E487" t="s">
        <v>39</v>
      </c>
      <c r="F487">
        <v>116802.78</v>
      </c>
    </row>
    <row r="488" spans="1:6" x14ac:dyDescent="0.3">
      <c r="A488">
        <v>2023</v>
      </c>
      <c r="B488">
        <v>7</v>
      </c>
      <c r="C488" t="s">
        <v>45</v>
      </c>
      <c r="D488" t="s">
        <v>38</v>
      </c>
      <c r="E488" t="s">
        <v>39</v>
      </c>
      <c r="F488">
        <v>24378.95</v>
      </c>
    </row>
    <row r="489" spans="1:6" x14ac:dyDescent="0.3">
      <c r="A489">
        <v>2023</v>
      </c>
      <c r="B489">
        <v>7</v>
      </c>
      <c r="C489" t="s">
        <v>37</v>
      </c>
      <c r="D489" t="s">
        <v>38</v>
      </c>
      <c r="E489" t="s">
        <v>46</v>
      </c>
      <c r="F489">
        <v>100783.79</v>
      </c>
    </row>
    <row r="490" spans="1:6" x14ac:dyDescent="0.3">
      <c r="A490">
        <v>2023</v>
      </c>
      <c r="B490">
        <v>7</v>
      </c>
      <c r="C490" t="s">
        <v>40</v>
      </c>
      <c r="D490" t="s">
        <v>38</v>
      </c>
      <c r="E490" t="s">
        <v>46</v>
      </c>
      <c r="F490">
        <v>117702.86</v>
      </c>
    </row>
    <row r="491" spans="1:6" x14ac:dyDescent="0.3">
      <c r="A491">
        <v>2023</v>
      </c>
      <c r="B491">
        <v>7</v>
      </c>
      <c r="C491" t="s">
        <v>41</v>
      </c>
      <c r="D491" t="s">
        <v>38</v>
      </c>
      <c r="E491" t="s">
        <v>46</v>
      </c>
      <c r="F491">
        <v>93609.56</v>
      </c>
    </row>
    <row r="492" spans="1:6" x14ac:dyDescent="0.3">
      <c r="A492">
        <v>2023</v>
      </c>
      <c r="B492">
        <v>7</v>
      </c>
      <c r="C492" t="s">
        <v>42</v>
      </c>
      <c r="D492" t="s">
        <v>38</v>
      </c>
      <c r="E492" t="s">
        <v>46</v>
      </c>
      <c r="F492">
        <v>61408.87</v>
      </c>
    </row>
    <row r="493" spans="1:6" x14ac:dyDescent="0.3">
      <c r="A493">
        <v>2023</v>
      </c>
      <c r="B493">
        <v>7</v>
      </c>
      <c r="C493" t="s">
        <v>43</v>
      </c>
      <c r="D493" t="s">
        <v>38</v>
      </c>
      <c r="E493" t="s">
        <v>46</v>
      </c>
      <c r="F493">
        <v>71948.5</v>
      </c>
    </row>
    <row r="494" spans="1:6" x14ac:dyDescent="0.3">
      <c r="A494">
        <v>2023</v>
      </c>
      <c r="B494">
        <v>7</v>
      </c>
      <c r="C494" t="s">
        <v>44</v>
      </c>
      <c r="D494" t="s">
        <v>38</v>
      </c>
      <c r="E494" t="s">
        <v>46</v>
      </c>
      <c r="F494">
        <v>36417.39</v>
      </c>
    </row>
    <row r="495" spans="1:6" x14ac:dyDescent="0.3">
      <c r="A495">
        <v>2023</v>
      </c>
      <c r="B495">
        <v>7</v>
      </c>
      <c r="C495" t="s">
        <v>45</v>
      </c>
      <c r="D495" t="s">
        <v>38</v>
      </c>
      <c r="E495" t="s">
        <v>46</v>
      </c>
      <c r="F495">
        <v>89963.22</v>
      </c>
    </row>
    <row r="496" spans="1:6" x14ac:dyDescent="0.3">
      <c r="A496">
        <v>2023</v>
      </c>
      <c r="B496">
        <v>7</v>
      </c>
      <c r="C496" t="s">
        <v>37</v>
      </c>
      <c r="D496" t="s">
        <v>38</v>
      </c>
      <c r="E496" t="s">
        <v>47</v>
      </c>
      <c r="F496">
        <v>17610.830000000002</v>
      </c>
    </row>
    <row r="497" spans="1:6" x14ac:dyDescent="0.3">
      <c r="A497">
        <v>2023</v>
      </c>
      <c r="B497">
        <v>7</v>
      </c>
      <c r="C497" t="s">
        <v>40</v>
      </c>
      <c r="D497" t="s">
        <v>38</v>
      </c>
      <c r="E497" t="s">
        <v>47</v>
      </c>
      <c r="F497">
        <v>79242.850000000006</v>
      </c>
    </row>
    <row r="498" spans="1:6" x14ac:dyDescent="0.3">
      <c r="A498">
        <v>2023</v>
      </c>
      <c r="B498">
        <v>7</v>
      </c>
      <c r="C498" t="s">
        <v>41</v>
      </c>
      <c r="D498" t="s">
        <v>38</v>
      </c>
      <c r="E498" t="s">
        <v>47</v>
      </c>
      <c r="F498">
        <v>59518.34</v>
      </c>
    </row>
    <row r="499" spans="1:6" x14ac:dyDescent="0.3">
      <c r="A499">
        <v>2023</v>
      </c>
      <c r="B499">
        <v>7</v>
      </c>
      <c r="C499" t="s">
        <v>42</v>
      </c>
      <c r="D499" t="s">
        <v>38</v>
      </c>
      <c r="E499" t="s">
        <v>47</v>
      </c>
      <c r="F499">
        <v>40617.199999999997</v>
      </c>
    </row>
    <row r="500" spans="1:6" x14ac:dyDescent="0.3">
      <c r="A500">
        <v>2023</v>
      </c>
      <c r="B500">
        <v>7</v>
      </c>
      <c r="C500" t="s">
        <v>43</v>
      </c>
      <c r="D500" t="s">
        <v>38</v>
      </c>
      <c r="E500" t="s">
        <v>47</v>
      </c>
      <c r="F500">
        <v>86742.67</v>
      </c>
    </row>
    <row r="501" spans="1:6" x14ac:dyDescent="0.3">
      <c r="A501">
        <v>2023</v>
      </c>
      <c r="B501">
        <v>7</v>
      </c>
      <c r="C501" t="s">
        <v>44</v>
      </c>
      <c r="D501" t="s">
        <v>38</v>
      </c>
      <c r="E501" t="s">
        <v>47</v>
      </c>
      <c r="F501">
        <v>99755</v>
      </c>
    </row>
    <row r="502" spans="1:6" x14ac:dyDescent="0.3">
      <c r="A502">
        <v>2023</v>
      </c>
      <c r="B502">
        <v>7</v>
      </c>
      <c r="C502" t="s">
        <v>45</v>
      </c>
      <c r="D502" t="s">
        <v>38</v>
      </c>
      <c r="E502" t="s">
        <v>47</v>
      </c>
      <c r="F502">
        <v>49941.67</v>
      </c>
    </row>
    <row r="503" spans="1:6" x14ac:dyDescent="0.3">
      <c r="A503">
        <v>2023</v>
      </c>
      <c r="B503">
        <v>7</v>
      </c>
      <c r="C503" t="s">
        <v>37</v>
      </c>
      <c r="D503" t="s">
        <v>48</v>
      </c>
      <c r="E503" t="s">
        <v>49</v>
      </c>
      <c r="F503">
        <v>48542.41</v>
      </c>
    </row>
    <row r="504" spans="1:6" x14ac:dyDescent="0.3">
      <c r="A504">
        <v>2023</v>
      </c>
      <c r="B504">
        <v>7</v>
      </c>
      <c r="C504" t="s">
        <v>40</v>
      </c>
      <c r="D504" t="s">
        <v>48</v>
      </c>
      <c r="E504" t="s">
        <v>49</v>
      </c>
      <c r="F504">
        <v>81780.83</v>
      </c>
    </row>
    <row r="505" spans="1:6" x14ac:dyDescent="0.3">
      <c r="A505">
        <v>2023</v>
      </c>
      <c r="B505">
        <v>7</v>
      </c>
      <c r="C505" t="s">
        <v>41</v>
      </c>
      <c r="D505" t="s">
        <v>48</v>
      </c>
      <c r="E505" t="s">
        <v>49</v>
      </c>
      <c r="F505">
        <v>74639.850000000006</v>
      </c>
    </row>
    <row r="506" spans="1:6" x14ac:dyDescent="0.3">
      <c r="A506">
        <v>2023</v>
      </c>
      <c r="B506">
        <v>7</v>
      </c>
      <c r="C506" t="s">
        <v>42</v>
      </c>
      <c r="D506" t="s">
        <v>48</v>
      </c>
      <c r="E506" t="s">
        <v>49</v>
      </c>
      <c r="F506">
        <v>83812.7</v>
      </c>
    </row>
    <row r="507" spans="1:6" x14ac:dyDescent="0.3">
      <c r="A507">
        <v>2023</v>
      </c>
      <c r="B507">
        <v>7</v>
      </c>
      <c r="C507" t="s">
        <v>43</v>
      </c>
      <c r="D507" t="s">
        <v>48</v>
      </c>
      <c r="E507" t="s">
        <v>49</v>
      </c>
      <c r="F507">
        <v>26422.6</v>
      </c>
    </row>
    <row r="508" spans="1:6" x14ac:dyDescent="0.3">
      <c r="A508">
        <v>2023</v>
      </c>
      <c r="B508">
        <v>7</v>
      </c>
      <c r="C508" t="s">
        <v>44</v>
      </c>
      <c r="D508" t="s">
        <v>48</v>
      </c>
      <c r="E508" t="s">
        <v>49</v>
      </c>
      <c r="F508">
        <v>55767.19</v>
      </c>
    </row>
    <row r="509" spans="1:6" x14ac:dyDescent="0.3">
      <c r="A509">
        <v>2023</v>
      </c>
      <c r="B509">
        <v>7</v>
      </c>
      <c r="C509" t="s">
        <v>45</v>
      </c>
      <c r="D509" t="s">
        <v>48</v>
      </c>
      <c r="E509" t="s">
        <v>49</v>
      </c>
      <c r="F509">
        <v>74928.009999999995</v>
      </c>
    </row>
    <row r="510" spans="1:6" x14ac:dyDescent="0.3">
      <c r="A510">
        <v>2023</v>
      </c>
      <c r="B510">
        <v>7</v>
      </c>
      <c r="C510" t="s">
        <v>37</v>
      </c>
      <c r="D510" t="s">
        <v>48</v>
      </c>
      <c r="E510" t="s">
        <v>50</v>
      </c>
      <c r="F510">
        <v>30812.49</v>
      </c>
    </row>
    <row r="511" spans="1:6" x14ac:dyDescent="0.3">
      <c r="A511">
        <v>2023</v>
      </c>
      <c r="B511">
        <v>7</v>
      </c>
      <c r="C511" t="s">
        <v>40</v>
      </c>
      <c r="D511" t="s">
        <v>48</v>
      </c>
      <c r="E511" t="s">
        <v>50</v>
      </c>
      <c r="F511">
        <v>61379.3</v>
      </c>
    </row>
    <row r="512" spans="1:6" x14ac:dyDescent="0.3">
      <c r="A512">
        <v>2023</v>
      </c>
      <c r="B512">
        <v>7</v>
      </c>
      <c r="C512" t="s">
        <v>41</v>
      </c>
      <c r="D512" t="s">
        <v>48</v>
      </c>
      <c r="E512" t="s">
        <v>50</v>
      </c>
      <c r="F512">
        <v>96639.95</v>
      </c>
    </row>
    <row r="513" spans="1:6" x14ac:dyDescent="0.3">
      <c r="A513">
        <v>2023</v>
      </c>
      <c r="B513">
        <v>7</v>
      </c>
      <c r="C513" t="s">
        <v>42</v>
      </c>
      <c r="D513" t="s">
        <v>48</v>
      </c>
      <c r="E513" t="s">
        <v>50</v>
      </c>
      <c r="F513">
        <v>85932.42</v>
      </c>
    </row>
    <row r="514" spans="1:6" x14ac:dyDescent="0.3">
      <c r="A514">
        <v>2023</v>
      </c>
      <c r="B514">
        <v>7</v>
      </c>
      <c r="C514" t="s">
        <v>43</v>
      </c>
      <c r="D514" t="s">
        <v>48</v>
      </c>
      <c r="E514" t="s">
        <v>50</v>
      </c>
      <c r="F514">
        <v>109963.65</v>
      </c>
    </row>
    <row r="515" spans="1:6" x14ac:dyDescent="0.3">
      <c r="A515">
        <v>2023</v>
      </c>
      <c r="B515">
        <v>7</v>
      </c>
      <c r="C515" t="s">
        <v>44</v>
      </c>
      <c r="D515" t="s">
        <v>48</v>
      </c>
      <c r="E515" t="s">
        <v>50</v>
      </c>
      <c r="F515">
        <v>82918.52</v>
      </c>
    </row>
    <row r="516" spans="1:6" x14ac:dyDescent="0.3">
      <c r="A516">
        <v>2023</v>
      </c>
      <c r="B516">
        <v>7</v>
      </c>
      <c r="C516" t="s">
        <v>45</v>
      </c>
      <c r="D516" t="s">
        <v>48</v>
      </c>
      <c r="E516" t="s">
        <v>50</v>
      </c>
      <c r="F516">
        <v>64903.87</v>
      </c>
    </row>
    <row r="517" spans="1:6" x14ac:dyDescent="0.3">
      <c r="A517">
        <v>2023</v>
      </c>
      <c r="B517">
        <v>7</v>
      </c>
      <c r="C517" t="s">
        <v>37</v>
      </c>
      <c r="D517" t="s">
        <v>48</v>
      </c>
      <c r="E517" t="s">
        <v>51</v>
      </c>
      <c r="F517">
        <v>119452.81</v>
      </c>
    </row>
    <row r="518" spans="1:6" x14ac:dyDescent="0.3">
      <c r="A518">
        <v>2023</v>
      </c>
      <c r="B518">
        <v>7</v>
      </c>
      <c r="C518" t="s">
        <v>40</v>
      </c>
      <c r="D518" t="s">
        <v>48</v>
      </c>
      <c r="E518" t="s">
        <v>51</v>
      </c>
      <c r="F518">
        <v>105150.48</v>
      </c>
    </row>
    <row r="519" spans="1:6" x14ac:dyDescent="0.3">
      <c r="A519">
        <v>2023</v>
      </c>
      <c r="B519">
        <v>7</v>
      </c>
      <c r="C519" t="s">
        <v>41</v>
      </c>
      <c r="D519" t="s">
        <v>48</v>
      </c>
      <c r="E519" t="s">
        <v>51</v>
      </c>
      <c r="F519">
        <v>66378.600000000006</v>
      </c>
    </row>
    <row r="520" spans="1:6" x14ac:dyDescent="0.3">
      <c r="A520">
        <v>2023</v>
      </c>
      <c r="B520">
        <v>7</v>
      </c>
      <c r="C520" t="s">
        <v>42</v>
      </c>
      <c r="D520" t="s">
        <v>48</v>
      </c>
      <c r="E520" t="s">
        <v>51</v>
      </c>
      <c r="F520">
        <v>102840.97</v>
      </c>
    </row>
    <row r="521" spans="1:6" x14ac:dyDescent="0.3">
      <c r="A521">
        <v>2023</v>
      </c>
      <c r="B521">
        <v>7</v>
      </c>
      <c r="C521" t="s">
        <v>43</v>
      </c>
      <c r="D521" t="s">
        <v>48</v>
      </c>
      <c r="E521" t="s">
        <v>51</v>
      </c>
      <c r="F521">
        <v>32250.84</v>
      </c>
    </row>
    <row r="522" spans="1:6" x14ac:dyDescent="0.3">
      <c r="A522">
        <v>2023</v>
      </c>
      <c r="B522">
        <v>7</v>
      </c>
      <c r="C522" t="s">
        <v>44</v>
      </c>
      <c r="D522" t="s">
        <v>48</v>
      </c>
      <c r="E522" t="s">
        <v>51</v>
      </c>
      <c r="F522">
        <v>77079.259999999995</v>
      </c>
    </row>
    <row r="523" spans="1:6" x14ac:dyDescent="0.3">
      <c r="A523">
        <v>2023</v>
      </c>
      <c r="B523">
        <v>7</v>
      </c>
      <c r="C523" t="s">
        <v>45</v>
      </c>
      <c r="D523" t="s">
        <v>48</v>
      </c>
      <c r="E523" t="s">
        <v>51</v>
      </c>
      <c r="F523">
        <v>112135.86</v>
      </c>
    </row>
    <row r="524" spans="1:6" x14ac:dyDescent="0.3">
      <c r="A524">
        <v>2023</v>
      </c>
      <c r="B524">
        <v>7</v>
      </c>
      <c r="C524" t="s">
        <v>37</v>
      </c>
      <c r="D524" t="s">
        <v>48</v>
      </c>
      <c r="E524" t="s">
        <v>52</v>
      </c>
      <c r="F524">
        <v>76237.399999999994</v>
      </c>
    </row>
    <row r="525" spans="1:6" x14ac:dyDescent="0.3">
      <c r="A525">
        <v>2023</v>
      </c>
      <c r="B525">
        <v>7</v>
      </c>
      <c r="C525" t="s">
        <v>40</v>
      </c>
      <c r="D525" t="s">
        <v>48</v>
      </c>
      <c r="E525" t="s">
        <v>52</v>
      </c>
      <c r="F525">
        <v>11358.5</v>
      </c>
    </row>
    <row r="526" spans="1:6" x14ac:dyDescent="0.3">
      <c r="A526">
        <v>2023</v>
      </c>
      <c r="B526">
        <v>7</v>
      </c>
      <c r="C526" t="s">
        <v>41</v>
      </c>
      <c r="D526" t="s">
        <v>48</v>
      </c>
      <c r="E526" t="s">
        <v>52</v>
      </c>
      <c r="F526">
        <v>76700.03</v>
      </c>
    </row>
    <row r="527" spans="1:6" x14ac:dyDescent="0.3">
      <c r="A527">
        <v>2023</v>
      </c>
      <c r="B527">
        <v>7</v>
      </c>
      <c r="C527" t="s">
        <v>42</v>
      </c>
      <c r="D527" t="s">
        <v>48</v>
      </c>
      <c r="E527" t="s">
        <v>52</v>
      </c>
      <c r="F527">
        <v>100560.87</v>
      </c>
    </row>
    <row r="528" spans="1:6" x14ac:dyDescent="0.3">
      <c r="A528">
        <v>2023</v>
      </c>
      <c r="B528">
        <v>7</v>
      </c>
      <c r="C528" t="s">
        <v>43</v>
      </c>
      <c r="D528" t="s">
        <v>48</v>
      </c>
      <c r="E528" t="s">
        <v>52</v>
      </c>
      <c r="F528">
        <v>97797.26</v>
      </c>
    </row>
    <row r="529" spans="1:6" x14ac:dyDescent="0.3">
      <c r="A529">
        <v>2023</v>
      </c>
      <c r="B529">
        <v>7</v>
      </c>
      <c r="C529" t="s">
        <v>44</v>
      </c>
      <c r="D529" t="s">
        <v>48</v>
      </c>
      <c r="E529" t="s">
        <v>52</v>
      </c>
      <c r="F529">
        <v>56685.73</v>
      </c>
    </row>
    <row r="530" spans="1:6" x14ac:dyDescent="0.3">
      <c r="A530">
        <v>2023</v>
      </c>
      <c r="B530">
        <v>7</v>
      </c>
      <c r="C530" t="s">
        <v>45</v>
      </c>
      <c r="D530" t="s">
        <v>48</v>
      </c>
      <c r="E530" t="s">
        <v>52</v>
      </c>
      <c r="F530">
        <v>43758.44</v>
      </c>
    </row>
    <row r="531" spans="1:6" x14ac:dyDescent="0.3">
      <c r="A531">
        <v>2023</v>
      </c>
      <c r="B531">
        <v>7</v>
      </c>
      <c r="C531" t="s">
        <v>37</v>
      </c>
      <c r="D531" t="s">
        <v>48</v>
      </c>
      <c r="E531" t="s">
        <v>53</v>
      </c>
      <c r="F531">
        <v>51626.64</v>
      </c>
    </row>
    <row r="532" spans="1:6" x14ac:dyDescent="0.3">
      <c r="A532">
        <v>2023</v>
      </c>
      <c r="B532">
        <v>7</v>
      </c>
      <c r="C532" t="s">
        <v>40</v>
      </c>
      <c r="D532" t="s">
        <v>48</v>
      </c>
      <c r="E532" t="s">
        <v>53</v>
      </c>
      <c r="F532">
        <v>32289.5</v>
      </c>
    </row>
    <row r="533" spans="1:6" x14ac:dyDescent="0.3">
      <c r="A533">
        <v>2023</v>
      </c>
      <c r="B533">
        <v>7</v>
      </c>
      <c r="C533" t="s">
        <v>41</v>
      </c>
      <c r="D533" t="s">
        <v>48</v>
      </c>
      <c r="E533" t="s">
        <v>53</v>
      </c>
      <c r="F533">
        <v>101321.42</v>
      </c>
    </row>
    <row r="534" spans="1:6" x14ac:dyDescent="0.3">
      <c r="A534">
        <v>2023</v>
      </c>
      <c r="B534">
        <v>7</v>
      </c>
      <c r="C534" t="s">
        <v>42</v>
      </c>
      <c r="D534" t="s">
        <v>48</v>
      </c>
      <c r="E534" t="s">
        <v>53</v>
      </c>
      <c r="F534">
        <v>31593.52</v>
      </c>
    </row>
    <row r="535" spans="1:6" x14ac:dyDescent="0.3">
      <c r="A535">
        <v>2023</v>
      </c>
      <c r="B535">
        <v>7</v>
      </c>
      <c r="C535" t="s">
        <v>43</v>
      </c>
      <c r="D535" t="s">
        <v>48</v>
      </c>
      <c r="E535" t="s">
        <v>53</v>
      </c>
      <c r="F535">
        <v>82164.17</v>
      </c>
    </row>
    <row r="536" spans="1:6" x14ac:dyDescent="0.3">
      <c r="A536">
        <v>2023</v>
      </c>
      <c r="B536">
        <v>7</v>
      </c>
      <c r="C536" t="s">
        <v>44</v>
      </c>
      <c r="D536" t="s">
        <v>48</v>
      </c>
      <c r="E536" t="s">
        <v>53</v>
      </c>
      <c r="F536">
        <v>101729.94</v>
      </c>
    </row>
    <row r="537" spans="1:6" x14ac:dyDescent="0.3">
      <c r="A537">
        <v>2023</v>
      </c>
      <c r="B537">
        <v>7</v>
      </c>
      <c r="C537" t="s">
        <v>45</v>
      </c>
      <c r="D537" t="s">
        <v>48</v>
      </c>
      <c r="E537" t="s">
        <v>53</v>
      </c>
      <c r="F537">
        <v>59420.21</v>
      </c>
    </row>
    <row r="538" spans="1:6" x14ac:dyDescent="0.3">
      <c r="A538">
        <v>2023</v>
      </c>
      <c r="B538">
        <v>7</v>
      </c>
      <c r="C538" t="s">
        <v>37</v>
      </c>
      <c r="D538" t="s">
        <v>48</v>
      </c>
      <c r="E538" t="s">
        <v>54</v>
      </c>
      <c r="F538">
        <v>18099.97</v>
      </c>
    </row>
    <row r="539" spans="1:6" x14ac:dyDescent="0.3">
      <c r="A539">
        <v>2023</v>
      </c>
      <c r="B539">
        <v>7</v>
      </c>
      <c r="C539" t="s">
        <v>40</v>
      </c>
      <c r="D539" t="s">
        <v>48</v>
      </c>
      <c r="E539" t="s">
        <v>54</v>
      </c>
      <c r="F539">
        <v>103774.11</v>
      </c>
    </row>
    <row r="540" spans="1:6" x14ac:dyDescent="0.3">
      <c r="A540">
        <v>2023</v>
      </c>
      <c r="B540">
        <v>7</v>
      </c>
      <c r="C540" t="s">
        <v>41</v>
      </c>
      <c r="D540" t="s">
        <v>48</v>
      </c>
      <c r="E540" t="s">
        <v>54</v>
      </c>
      <c r="F540">
        <v>17134.04</v>
      </c>
    </row>
    <row r="541" spans="1:6" x14ac:dyDescent="0.3">
      <c r="A541">
        <v>2023</v>
      </c>
      <c r="B541">
        <v>7</v>
      </c>
      <c r="C541" t="s">
        <v>42</v>
      </c>
      <c r="D541" t="s">
        <v>48</v>
      </c>
      <c r="E541" t="s">
        <v>54</v>
      </c>
      <c r="F541">
        <v>68011.98</v>
      </c>
    </row>
    <row r="542" spans="1:6" x14ac:dyDescent="0.3">
      <c r="A542">
        <v>2023</v>
      </c>
      <c r="B542">
        <v>7</v>
      </c>
      <c r="C542" t="s">
        <v>43</v>
      </c>
      <c r="D542" t="s">
        <v>48</v>
      </c>
      <c r="E542" t="s">
        <v>54</v>
      </c>
      <c r="F542">
        <v>13098.85</v>
      </c>
    </row>
    <row r="543" spans="1:6" x14ac:dyDescent="0.3">
      <c r="A543">
        <v>2023</v>
      </c>
      <c r="B543">
        <v>7</v>
      </c>
      <c r="C543" t="s">
        <v>44</v>
      </c>
      <c r="D543" t="s">
        <v>48</v>
      </c>
      <c r="E543" t="s">
        <v>54</v>
      </c>
      <c r="F543">
        <v>90366.77</v>
      </c>
    </row>
    <row r="544" spans="1:6" x14ac:dyDescent="0.3">
      <c r="A544">
        <v>2023</v>
      </c>
      <c r="B544">
        <v>7</v>
      </c>
      <c r="C544" t="s">
        <v>45</v>
      </c>
      <c r="D544" t="s">
        <v>48</v>
      </c>
      <c r="E544" t="s">
        <v>54</v>
      </c>
      <c r="F544">
        <v>51119.75</v>
      </c>
    </row>
    <row r="545" spans="1:6" x14ac:dyDescent="0.3">
      <c r="A545">
        <v>2023</v>
      </c>
      <c r="B545">
        <v>7</v>
      </c>
      <c r="C545" t="s">
        <v>37</v>
      </c>
      <c r="D545" t="s">
        <v>48</v>
      </c>
      <c r="E545" t="s">
        <v>55</v>
      </c>
      <c r="F545">
        <v>80794.149999999994</v>
      </c>
    </row>
    <row r="546" spans="1:6" x14ac:dyDescent="0.3">
      <c r="A546">
        <v>2023</v>
      </c>
      <c r="B546">
        <v>7</v>
      </c>
      <c r="C546" t="s">
        <v>40</v>
      </c>
      <c r="D546" t="s">
        <v>48</v>
      </c>
      <c r="E546" t="s">
        <v>55</v>
      </c>
      <c r="F546">
        <v>38705.57</v>
      </c>
    </row>
    <row r="547" spans="1:6" x14ac:dyDescent="0.3">
      <c r="A547">
        <v>2023</v>
      </c>
      <c r="B547">
        <v>7</v>
      </c>
      <c r="C547" t="s">
        <v>41</v>
      </c>
      <c r="D547" t="s">
        <v>48</v>
      </c>
      <c r="E547" t="s">
        <v>55</v>
      </c>
      <c r="F547">
        <v>91345.42</v>
      </c>
    </row>
    <row r="548" spans="1:6" x14ac:dyDescent="0.3">
      <c r="A548">
        <v>2023</v>
      </c>
      <c r="B548">
        <v>7</v>
      </c>
      <c r="C548" t="s">
        <v>42</v>
      </c>
      <c r="D548" t="s">
        <v>48</v>
      </c>
      <c r="E548" t="s">
        <v>55</v>
      </c>
      <c r="F548">
        <v>85934.64</v>
      </c>
    </row>
    <row r="549" spans="1:6" x14ac:dyDescent="0.3">
      <c r="A549">
        <v>2023</v>
      </c>
      <c r="B549">
        <v>7</v>
      </c>
      <c r="C549" t="s">
        <v>43</v>
      </c>
      <c r="D549" t="s">
        <v>48</v>
      </c>
      <c r="E549" t="s">
        <v>55</v>
      </c>
      <c r="F549">
        <v>75408.87</v>
      </c>
    </row>
    <row r="550" spans="1:6" x14ac:dyDescent="0.3">
      <c r="A550">
        <v>2023</v>
      </c>
      <c r="B550">
        <v>7</v>
      </c>
      <c r="C550" t="s">
        <v>44</v>
      </c>
      <c r="D550" t="s">
        <v>48</v>
      </c>
      <c r="E550" t="s">
        <v>55</v>
      </c>
      <c r="F550">
        <v>15357.87</v>
      </c>
    </row>
    <row r="551" spans="1:6" x14ac:dyDescent="0.3">
      <c r="A551">
        <v>2023</v>
      </c>
      <c r="B551">
        <v>7</v>
      </c>
      <c r="C551" t="s">
        <v>45</v>
      </c>
      <c r="D551" t="s">
        <v>48</v>
      </c>
      <c r="E551" t="s">
        <v>55</v>
      </c>
      <c r="F551">
        <v>113963.57</v>
      </c>
    </row>
    <row r="552" spans="1:6" x14ac:dyDescent="0.3">
      <c r="A552">
        <v>2023</v>
      </c>
      <c r="B552">
        <v>7</v>
      </c>
      <c r="C552" t="s">
        <v>37</v>
      </c>
      <c r="D552" t="s">
        <v>48</v>
      </c>
      <c r="E552" t="s">
        <v>56</v>
      </c>
      <c r="F552">
        <v>89495.1</v>
      </c>
    </row>
    <row r="553" spans="1:6" x14ac:dyDescent="0.3">
      <c r="A553">
        <v>2023</v>
      </c>
      <c r="B553">
        <v>7</v>
      </c>
      <c r="C553" t="s">
        <v>40</v>
      </c>
      <c r="D553" t="s">
        <v>48</v>
      </c>
      <c r="E553" t="s">
        <v>56</v>
      </c>
      <c r="F553">
        <v>81283.58</v>
      </c>
    </row>
    <row r="554" spans="1:6" x14ac:dyDescent="0.3">
      <c r="A554">
        <v>2023</v>
      </c>
      <c r="B554">
        <v>7</v>
      </c>
      <c r="C554" t="s">
        <v>41</v>
      </c>
      <c r="D554" t="s">
        <v>48</v>
      </c>
      <c r="E554" t="s">
        <v>56</v>
      </c>
      <c r="F554">
        <v>34230.79</v>
      </c>
    </row>
    <row r="555" spans="1:6" x14ac:dyDescent="0.3">
      <c r="A555">
        <v>2023</v>
      </c>
      <c r="B555">
        <v>7</v>
      </c>
      <c r="C555" t="s">
        <v>42</v>
      </c>
      <c r="D555" t="s">
        <v>48</v>
      </c>
      <c r="E555" t="s">
        <v>56</v>
      </c>
      <c r="F555">
        <v>96338.42</v>
      </c>
    </row>
    <row r="556" spans="1:6" x14ac:dyDescent="0.3">
      <c r="A556">
        <v>2023</v>
      </c>
      <c r="B556">
        <v>7</v>
      </c>
      <c r="C556" t="s">
        <v>43</v>
      </c>
      <c r="D556" t="s">
        <v>48</v>
      </c>
      <c r="E556" t="s">
        <v>56</v>
      </c>
      <c r="F556">
        <v>118953.81</v>
      </c>
    </row>
    <row r="557" spans="1:6" x14ac:dyDescent="0.3">
      <c r="A557">
        <v>2023</v>
      </c>
      <c r="B557">
        <v>7</v>
      </c>
      <c r="C557" t="s">
        <v>44</v>
      </c>
      <c r="D557" t="s">
        <v>48</v>
      </c>
      <c r="E557" t="s">
        <v>56</v>
      </c>
      <c r="F557">
        <v>106720.88</v>
      </c>
    </row>
    <row r="558" spans="1:6" x14ac:dyDescent="0.3">
      <c r="A558">
        <v>2023</v>
      </c>
      <c r="B558">
        <v>7</v>
      </c>
      <c r="C558" t="s">
        <v>45</v>
      </c>
      <c r="D558" t="s">
        <v>48</v>
      </c>
      <c r="E558" t="s">
        <v>56</v>
      </c>
      <c r="F558">
        <v>51012.81</v>
      </c>
    </row>
    <row r="559" spans="1:6" x14ac:dyDescent="0.3">
      <c r="A559">
        <v>2023</v>
      </c>
      <c r="B559">
        <v>7</v>
      </c>
      <c r="C559" t="s">
        <v>37</v>
      </c>
      <c r="D559" t="s">
        <v>57</v>
      </c>
      <c r="E559" t="s">
        <v>58</v>
      </c>
      <c r="F559">
        <v>66272.149999999994</v>
      </c>
    </row>
    <row r="560" spans="1:6" x14ac:dyDescent="0.3">
      <c r="A560">
        <v>2023</v>
      </c>
      <c r="B560">
        <v>7</v>
      </c>
      <c r="C560" t="s">
        <v>37</v>
      </c>
      <c r="D560" t="s">
        <v>57</v>
      </c>
      <c r="E560" t="s">
        <v>59</v>
      </c>
      <c r="F560">
        <v>120049.53</v>
      </c>
    </row>
    <row r="561" spans="1:6" x14ac:dyDescent="0.3">
      <c r="A561">
        <v>2023</v>
      </c>
      <c r="B561">
        <v>7</v>
      </c>
      <c r="C561" t="s">
        <v>37</v>
      </c>
      <c r="D561" t="s">
        <v>57</v>
      </c>
      <c r="E561" t="s">
        <v>60</v>
      </c>
      <c r="F561">
        <v>37404.32</v>
      </c>
    </row>
    <row r="562" spans="1:6" x14ac:dyDescent="0.3">
      <c r="A562">
        <v>2023</v>
      </c>
      <c r="B562">
        <v>8</v>
      </c>
      <c r="C562" t="s">
        <v>37</v>
      </c>
      <c r="D562" t="s">
        <v>38</v>
      </c>
      <c r="E562" t="s">
        <v>39</v>
      </c>
      <c r="F562">
        <v>73572.289999999994</v>
      </c>
    </row>
    <row r="563" spans="1:6" x14ac:dyDescent="0.3">
      <c r="A563">
        <v>2023</v>
      </c>
      <c r="B563">
        <v>8</v>
      </c>
      <c r="C563" t="s">
        <v>40</v>
      </c>
      <c r="D563" t="s">
        <v>38</v>
      </c>
      <c r="E563" t="s">
        <v>39</v>
      </c>
      <c r="F563">
        <v>46236.639999999999</v>
      </c>
    </row>
    <row r="564" spans="1:6" x14ac:dyDescent="0.3">
      <c r="A564">
        <v>2023</v>
      </c>
      <c r="B564">
        <v>8</v>
      </c>
      <c r="C564" t="s">
        <v>41</v>
      </c>
      <c r="D564" t="s">
        <v>38</v>
      </c>
      <c r="E564" t="s">
        <v>39</v>
      </c>
      <c r="F564">
        <v>19097.45</v>
      </c>
    </row>
    <row r="565" spans="1:6" x14ac:dyDescent="0.3">
      <c r="A565">
        <v>2023</v>
      </c>
      <c r="B565">
        <v>8</v>
      </c>
      <c r="C565" t="s">
        <v>42</v>
      </c>
      <c r="D565" t="s">
        <v>38</v>
      </c>
      <c r="E565" t="s">
        <v>39</v>
      </c>
      <c r="F565">
        <v>23809.3</v>
      </c>
    </row>
    <row r="566" spans="1:6" x14ac:dyDescent="0.3">
      <c r="A566">
        <v>2023</v>
      </c>
      <c r="B566">
        <v>8</v>
      </c>
      <c r="C566" t="s">
        <v>43</v>
      </c>
      <c r="D566" t="s">
        <v>38</v>
      </c>
      <c r="E566" t="s">
        <v>39</v>
      </c>
      <c r="F566">
        <v>55947.59</v>
      </c>
    </row>
    <row r="567" spans="1:6" x14ac:dyDescent="0.3">
      <c r="A567">
        <v>2023</v>
      </c>
      <c r="B567">
        <v>8</v>
      </c>
      <c r="C567" t="s">
        <v>44</v>
      </c>
      <c r="D567" t="s">
        <v>38</v>
      </c>
      <c r="E567" t="s">
        <v>39</v>
      </c>
      <c r="F567">
        <v>26049.759999999998</v>
      </c>
    </row>
    <row r="568" spans="1:6" x14ac:dyDescent="0.3">
      <c r="A568">
        <v>2023</v>
      </c>
      <c r="B568">
        <v>8</v>
      </c>
      <c r="C568" t="s">
        <v>45</v>
      </c>
      <c r="D568" t="s">
        <v>38</v>
      </c>
      <c r="E568" t="s">
        <v>39</v>
      </c>
      <c r="F568">
        <v>36996.19</v>
      </c>
    </row>
    <row r="569" spans="1:6" x14ac:dyDescent="0.3">
      <c r="A569">
        <v>2023</v>
      </c>
      <c r="B569">
        <v>8</v>
      </c>
      <c r="C569" t="s">
        <v>37</v>
      </c>
      <c r="D569" t="s">
        <v>38</v>
      </c>
      <c r="E569" t="s">
        <v>46</v>
      </c>
      <c r="F569">
        <v>99084.15</v>
      </c>
    </row>
    <row r="570" spans="1:6" x14ac:dyDescent="0.3">
      <c r="A570">
        <v>2023</v>
      </c>
      <c r="B570">
        <v>8</v>
      </c>
      <c r="C570" t="s">
        <v>40</v>
      </c>
      <c r="D570" t="s">
        <v>38</v>
      </c>
      <c r="E570" t="s">
        <v>46</v>
      </c>
      <c r="F570">
        <v>56587.83</v>
      </c>
    </row>
    <row r="571" spans="1:6" x14ac:dyDescent="0.3">
      <c r="A571">
        <v>2023</v>
      </c>
      <c r="B571">
        <v>8</v>
      </c>
      <c r="C571" t="s">
        <v>41</v>
      </c>
      <c r="D571" t="s">
        <v>38</v>
      </c>
      <c r="E571" t="s">
        <v>46</v>
      </c>
      <c r="F571">
        <v>66175.149999999994</v>
      </c>
    </row>
    <row r="572" spans="1:6" x14ac:dyDescent="0.3">
      <c r="A572">
        <v>2023</v>
      </c>
      <c r="B572">
        <v>8</v>
      </c>
      <c r="C572" t="s">
        <v>42</v>
      </c>
      <c r="D572" t="s">
        <v>38</v>
      </c>
      <c r="E572" t="s">
        <v>46</v>
      </c>
      <c r="F572">
        <v>43199.040000000001</v>
      </c>
    </row>
    <row r="573" spans="1:6" x14ac:dyDescent="0.3">
      <c r="A573">
        <v>2023</v>
      </c>
      <c r="B573">
        <v>8</v>
      </c>
      <c r="C573" t="s">
        <v>43</v>
      </c>
      <c r="D573" t="s">
        <v>38</v>
      </c>
      <c r="E573" t="s">
        <v>46</v>
      </c>
      <c r="F573">
        <v>38224.03</v>
      </c>
    </row>
    <row r="574" spans="1:6" x14ac:dyDescent="0.3">
      <c r="A574">
        <v>2023</v>
      </c>
      <c r="B574">
        <v>8</v>
      </c>
      <c r="C574" t="s">
        <v>44</v>
      </c>
      <c r="D574" t="s">
        <v>38</v>
      </c>
      <c r="E574" t="s">
        <v>46</v>
      </c>
      <c r="F574">
        <v>92354.07</v>
      </c>
    </row>
    <row r="575" spans="1:6" x14ac:dyDescent="0.3">
      <c r="A575">
        <v>2023</v>
      </c>
      <c r="B575">
        <v>8</v>
      </c>
      <c r="C575" t="s">
        <v>45</v>
      </c>
      <c r="D575" t="s">
        <v>38</v>
      </c>
      <c r="E575" t="s">
        <v>46</v>
      </c>
      <c r="F575">
        <v>114856.78</v>
      </c>
    </row>
    <row r="576" spans="1:6" x14ac:dyDescent="0.3">
      <c r="A576">
        <v>2023</v>
      </c>
      <c r="B576">
        <v>8</v>
      </c>
      <c r="C576" t="s">
        <v>37</v>
      </c>
      <c r="D576" t="s">
        <v>38</v>
      </c>
      <c r="E576" t="s">
        <v>47</v>
      </c>
      <c r="F576">
        <v>108126.47</v>
      </c>
    </row>
    <row r="577" spans="1:6" x14ac:dyDescent="0.3">
      <c r="A577">
        <v>2023</v>
      </c>
      <c r="B577">
        <v>8</v>
      </c>
      <c r="C577" t="s">
        <v>40</v>
      </c>
      <c r="D577" t="s">
        <v>38</v>
      </c>
      <c r="E577" t="s">
        <v>47</v>
      </c>
      <c r="F577">
        <v>62518.54</v>
      </c>
    </row>
    <row r="578" spans="1:6" x14ac:dyDescent="0.3">
      <c r="A578">
        <v>2023</v>
      </c>
      <c r="B578">
        <v>8</v>
      </c>
      <c r="C578" t="s">
        <v>41</v>
      </c>
      <c r="D578" t="s">
        <v>38</v>
      </c>
      <c r="E578" t="s">
        <v>47</v>
      </c>
      <c r="F578">
        <v>24028.82</v>
      </c>
    </row>
    <row r="579" spans="1:6" x14ac:dyDescent="0.3">
      <c r="A579">
        <v>2023</v>
      </c>
      <c r="B579">
        <v>8</v>
      </c>
      <c r="C579" t="s">
        <v>42</v>
      </c>
      <c r="D579" t="s">
        <v>38</v>
      </c>
      <c r="E579" t="s">
        <v>47</v>
      </c>
      <c r="F579">
        <v>43072.11</v>
      </c>
    </row>
    <row r="580" spans="1:6" x14ac:dyDescent="0.3">
      <c r="A580">
        <v>2023</v>
      </c>
      <c r="B580">
        <v>8</v>
      </c>
      <c r="C580" t="s">
        <v>43</v>
      </c>
      <c r="D580" t="s">
        <v>38</v>
      </c>
      <c r="E580" t="s">
        <v>47</v>
      </c>
      <c r="F580">
        <v>59577.81</v>
      </c>
    </row>
    <row r="581" spans="1:6" x14ac:dyDescent="0.3">
      <c r="A581">
        <v>2023</v>
      </c>
      <c r="B581">
        <v>8</v>
      </c>
      <c r="C581" t="s">
        <v>44</v>
      </c>
      <c r="D581" t="s">
        <v>38</v>
      </c>
      <c r="E581" t="s">
        <v>47</v>
      </c>
      <c r="F581">
        <v>88853.93</v>
      </c>
    </row>
    <row r="582" spans="1:6" x14ac:dyDescent="0.3">
      <c r="A582">
        <v>2023</v>
      </c>
      <c r="B582">
        <v>8</v>
      </c>
      <c r="C582" t="s">
        <v>45</v>
      </c>
      <c r="D582" t="s">
        <v>38</v>
      </c>
      <c r="E582" t="s">
        <v>47</v>
      </c>
      <c r="F582">
        <v>103227.5</v>
      </c>
    </row>
    <row r="583" spans="1:6" x14ac:dyDescent="0.3">
      <c r="A583">
        <v>2023</v>
      </c>
      <c r="B583">
        <v>8</v>
      </c>
      <c r="C583" t="s">
        <v>37</v>
      </c>
      <c r="D583" t="s">
        <v>48</v>
      </c>
      <c r="E583" t="s">
        <v>49</v>
      </c>
      <c r="F583">
        <v>97762.66</v>
      </c>
    </row>
    <row r="584" spans="1:6" x14ac:dyDescent="0.3">
      <c r="A584">
        <v>2023</v>
      </c>
      <c r="B584">
        <v>8</v>
      </c>
      <c r="C584" t="s">
        <v>40</v>
      </c>
      <c r="D584" t="s">
        <v>48</v>
      </c>
      <c r="E584" t="s">
        <v>49</v>
      </c>
      <c r="F584">
        <v>72764.399999999994</v>
      </c>
    </row>
    <row r="585" spans="1:6" x14ac:dyDescent="0.3">
      <c r="A585">
        <v>2023</v>
      </c>
      <c r="B585">
        <v>8</v>
      </c>
      <c r="C585" t="s">
        <v>41</v>
      </c>
      <c r="D585" t="s">
        <v>48</v>
      </c>
      <c r="E585" t="s">
        <v>49</v>
      </c>
      <c r="F585">
        <v>102953.49</v>
      </c>
    </row>
    <row r="586" spans="1:6" x14ac:dyDescent="0.3">
      <c r="A586">
        <v>2023</v>
      </c>
      <c r="B586">
        <v>8</v>
      </c>
      <c r="C586" t="s">
        <v>42</v>
      </c>
      <c r="D586" t="s">
        <v>48</v>
      </c>
      <c r="E586" t="s">
        <v>49</v>
      </c>
      <c r="F586">
        <v>75067.66</v>
      </c>
    </row>
    <row r="587" spans="1:6" x14ac:dyDescent="0.3">
      <c r="A587">
        <v>2023</v>
      </c>
      <c r="B587">
        <v>8</v>
      </c>
      <c r="C587" t="s">
        <v>43</v>
      </c>
      <c r="D587" t="s">
        <v>48</v>
      </c>
      <c r="E587" t="s">
        <v>49</v>
      </c>
      <c r="F587">
        <v>98205.2</v>
      </c>
    </row>
    <row r="588" spans="1:6" x14ac:dyDescent="0.3">
      <c r="A588">
        <v>2023</v>
      </c>
      <c r="B588">
        <v>8</v>
      </c>
      <c r="C588" t="s">
        <v>44</v>
      </c>
      <c r="D588" t="s">
        <v>48</v>
      </c>
      <c r="E588" t="s">
        <v>49</v>
      </c>
      <c r="F588">
        <v>33554.07</v>
      </c>
    </row>
    <row r="589" spans="1:6" x14ac:dyDescent="0.3">
      <c r="A589">
        <v>2023</v>
      </c>
      <c r="B589">
        <v>8</v>
      </c>
      <c r="C589" t="s">
        <v>45</v>
      </c>
      <c r="D589" t="s">
        <v>48</v>
      </c>
      <c r="E589" t="s">
        <v>49</v>
      </c>
      <c r="F589">
        <v>106666.84</v>
      </c>
    </row>
    <row r="590" spans="1:6" x14ac:dyDescent="0.3">
      <c r="A590">
        <v>2023</v>
      </c>
      <c r="B590">
        <v>8</v>
      </c>
      <c r="C590" t="s">
        <v>37</v>
      </c>
      <c r="D590" t="s">
        <v>48</v>
      </c>
      <c r="E590" t="s">
        <v>50</v>
      </c>
      <c r="F590">
        <v>74379.490000000005</v>
      </c>
    </row>
    <row r="591" spans="1:6" x14ac:dyDescent="0.3">
      <c r="A591">
        <v>2023</v>
      </c>
      <c r="B591">
        <v>8</v>
      </c>
      <c r="C591" t="s">
        <v>40</v>
      </c>
      <c r="D591" t="s">
        <v>48</v>
      </c>
      <c r="E591" t="s">
        <v>50</v>
      </c>
      <c r="F591">
        <v>95310.720000000001</v>
      </c>
    </row>
    <row r="592" spans="1:6" x14ac:dyDescent="0.3">
      <c r="A592">
        <v>2023</v>
      </c>
      <c r="B592">
        <v>8</v>
      </c>
      <c r="C592" t="s">
        <v>41</v>
      </c>
      <c r="D592" t="s">
        <v>48</v>
      </c>
      <c r="E592" t="s">
        <v>50</v>
      </c>
      <c r="F592">
        <v>72442.38</v>
      </c>
    </row>
    <row r="593" spans="1:6" x14ac:dyDescent="0.3">
      <c r="A593">
        <v>2023</v>
      </c>
      <c r="B593">
        <v>8</v>
      </c>
      <c r="C593" t="s">
        <v>42</v>
      </c>
      <c r="D593" t="s">
        <v>48</v>
      </c>
      <c r="E593" t="s">
        <v>50</v>
      </c>
      <c r="F593">
        <v>86523.42</v>
      </c>
    </row>
    <row r="594" spans="1:6" x14ac:dyDescent="0.3">
      <c r="A594">
        <v>2023</v>
      </c>
      <c r="B594">
        <v>8</v>
      </c>
      <c r="C594" t="s">
        <v>43</v>
      </c>
      <c r="D594" t="s">
        <v>48</v>
      </c>
      <c r="E594" t="s">
        <v>50</v>
      </c>
      <c r="F594">
        <v>107890.34</v>
      </c>
    </row>
    <row r="595" spans="1:6" x14ac:dyDescent="0.3">
      <c r="A595">
        <v>2023</v>
      </c>
      <c r="B595">
        <v>8</v>
      </c>
      <c r="C595" t="s">
        <v>44</v>
      </c>
      <c r="D595" t="s">
        <v>48</v>
      </c>
      <c r="E595" t="s">
        <v>50</v>
      </c>
      <c r="F595">
        <v>102564.29</v>
      </c>
    </row>
    <row r="596" spans="1:6" x14ac:dyDescent="0.3">
      <c r="A596">
        <v>2023</v>
      </c>
      <c r="B596">
        <v>8</v>
      </c>
      <c r="C596" t="s">
        <v>45</v>
      </c>
      <c r="D596" t="s">
        <v>48</v>
      </c>
      <c r="E596" t="s">
        <v>50</v>
      </c>
      <c r="F596">
        <v>79757.7</v>
      </c>
    </row>
    <row r="597" spans="1:6" x14ac:dyDescent="0.3">
      <c r="A597">
        <v>2023</v>
      </c>
      <c r="B597">
        <v>8</v>
      </c>
      <c r="C597" t="s">
        <v>37</v>
      </c>
      <c r="D597" t="s">
        <v>48</v>
      </c>
      <c r="E597" t="s">
        <v>51</v>
      </c>
      <c r="F597">
        <v>33417.629999999997</v>
      </c>
    </row>
    <row r="598" spans="1:6" x14ac:dyDescent="0.3">
      <c r="A598">
        <v>2023</v>
      </c>
      <c r="B598">
        <v>8</v>
      </c>
      <c r="C598" t="s">
        <v>40</v>
      </c>
      <c r="D598" t="s">
        <v>48</v>
      </c>
      <c r="E598" t="s">
        <v>51</v>
      </c>
      <c r="F598">
        <v>22511</v>
      </c>
    </row>
    <row r="599" spans="1:6" x14ac:dyDescent="0.3">
      <c r="A599">
        <v>2023</v>
      </c>
      <c r="B599">
        <v>8</v>
      </c>
      <c r="C599" t="s">
        <v>41</v>
      </c>
      <c r="D599" t="s">
        <v>48</v>
      </c>
      <c r="E599" t="s">
        <v>51</v>
      </c>
      <c r="F599">
        <v>51087.38</v>
      </c>
    </row>
    <row r="600" spans="1:6" x14ac:dyDescent="0.3">
      <c r="A600">
        <v>2023</v>
      </c>
      <c r="B600">
        <v>8</v>
      </c>
      <c r="C600" t="s">
        <v>42</v>
      </c>
      <c r="D600" t="s">
        <v>48</v>
      </c>
      <c r="E600" t="s">
        <v>51</v>
      </c>
      <c r="F600">
        <v>104275.36</v>
      </c>
    </row>
    <row r="601" spans="1:6" x14ac:dyDescent="0.3">
      <c r="A601">
        <v>2023</v>
      </c>
      <c r="B601">
        <v>8</v>
      </c>
      <c r="C601" t="s">
        <v>43</v>
      </c>
      <c r="D601" t="s">
        <v>48</v>
      </c>
      <c r="E601" t="s">
        <v>51</v>
      </c>
      <c r="F601">
        <v>69081.78</v>
      </c>
    </row>
    <row r="602" spans="1:6" x14ac:dyDescent="0.3">
      <c r="A602">
        <v>2023</v>
      </c>
      <c r="B602">
        <v>8</v>
      </c>
      <c r="C602" t="s">
        <v>44</v>
      </c>
      <c r="D602" t="s">
        <v>48</v>
      </c>
      <c r="E602" t="s">
        <v>51</v>
      </c>
      <c r="F602">
        <v>103588.07</v>
      </c>
    </row>
    <row r="603" spans="1:6" x14ac:dyDescent="0.3">
      <c r="A603">
        <v>2023</v>
      </c>
      <c r="B603">
        <v>8</v>
      </c>
      <c r="C603" t="s">
        <v>45</v>
      </c>
      <c r="D603" t="s">
        <v>48</v>
      </c>
      <c r="E603" t="s">
        <v>51</v>
      </c>
      <c r="F603">
        <v>104060.02</v>
      </c>
    </row>
    <row r="604" spans="1:6" x14ac:dyDescent="0.3">
      <c r="A604">
        <v>2023</v>
      </c>
      <c r="B604">
        <v>8</v>
      </c>
      <c r="C604" t="s">
        <v>37</v>
      </c>
      <c r="D604" t="s">
        <v>48</v>
      </c>
      <c r="E604" t="s">
        <v>52</v>
      </c>
      <c r="F604">
        <v>33842.449999999997</v>
      </c>
    </row>
    <row r="605" spans="1:6" x14ac:dyDescent="0.3">
      <c r="A605">
        <v>2023</v>
      </c>
      <c r="B605">
        <v>8</v>
      </c>
      <c r="C605" t="s">
        <v>40</v>
      </c>
      <c r="D605" t="s">
        <v>48</v>
      </c>
      <c r="E605" t="s">
        <v>52</v>
      </c>
      <c r="F605">
        <v>74815.710000000006</v>
      </c>
    </row>
    <row r="606" spans="1:6" x14ac:dyDescent="0.3">
      <c r="A606">
        <v>2023</v>
      </c>
      <c r="B606">
        <v>8</v>
      </c>
      <c r="C606" t="s">
        <v>41</v>
      </c>
      <c r="D606" t="s">
        <v>48</v>
      </c>
      <c r="E606" t="s">
        <v>52</v>
      </c>
      <c r="F606">
        <v>116197.97</v>
      </c>
    </row>
    <row r="607" spans="1:6" x14ac:dyDescent="0.3">
      <c r="A607">
        <v>2023</v>
      </c>
      <c r="B607">
        <v>8</v>
      </c>
      <c r="C607" t="s">
        <v>42</v>
      </c>
      <c r="D607" t="s">
        <v>48</v>
      </c>
      <c r="E607" t="s">
        <v>52</v>
      </c>
      <c r="F607">
        <v>78079.100000000006</v>
      </c>
    </row>
    <row r="608" spans="1:6" x14ac:dyDescent="0.3">
      <c r="A608">
        <v>2023</v>
      </c>
      <c r="B608">
        <v>8</v>
      </c>
      <c r="C608" t="s">
        <v>43</v>
      </c>
      <c r="D608" t="s">
        <v>48</v>
      </c>
      <c r="E608" t="s">
        <v>52</v>
      </c>
      <c r="F608">
        <v>35061.22</v>
      </c>
    </row>
    <row r="609" spans="1:6" x14ac:dyDescent="0.3">
      <c r="A609">
        <v>2023</v>
      </c>
      <c r="B609">
        <v>8</v>
      </c>
      <c r="C609" t="s">
        <v>44</v>
      </c>
      <c r="D609" t="s">
        <v>48</v>
      </c>
      <c r="E609" t="s">
        <v>52</v>
      </c>
      <c r="F609">
        <v>77644.789999999994</v>
      </c>
    </row>
    <row r="610" spans="1:6" x14ac:dyDescent="0.3">
      <c r="A610">
        <v>2023</v>
      </c>
      <c r="B610">
        <v>8</v>
      </c>
      <c r="C610" t="s">
        <v>45</v>
      </c>
      <c r="D610" t="s">
        <v>48</v>
      </c>
      <c r="E610" t="s">
        <v>52</v>
      </c>
      <c r="F610">
        <v>20175.939999999999</v>
      </c>
    </row>
    <row r="611" spans="1:6" x14ac:dyDescent="0.3">
      <c r="A611">
        <v>2023</v>
      </c>
      <c r="B611">
        <v>8</v>
      </c>
      <c r="C611" t="s">
        <v>37</v>
      </c>
      <c r="D611" t="s">
        <v>48</v>
      </c>
      <c r="E611" t="s">
        <v>53</v>
      </c>
      <c r="F611">
        <v>19795.14</v>
      </c>
    </row>
    <row r="612" spans="1:6" x14ac:dyDescent="0.3">
      <c r="A612">
        <v>2023</v>
      </c>
      <c r="B612">
        <v>8</v>
      </c>
      <c r="C612" t="s">
        <v>40</v>
      </c>
      <c r="D612" t="s">
        <v>48</v>
      </c>
      <c r="E612" t="s">
        <v>53</v>
      </c>
      <c r="F612">
        <v>24932.66</v>
      </c>
    </row>
    <row r="613" spans="1:6" x14ac:dyDescent="0.3">
      <c r="A613">
        <v>2023</v>
      </c>
      <c r="B613">
        <v>8</v>
      </c>
      <c r="C613" t="s">
        <v>41</v>
      </c>
      <c r="D613" t="s">
        <v>48</v>
      </c>
      <c r="E613" t="s">
        <v>53</v>
      </c>
      <c r="F613">
        <v>112597.2</v>
      </c>
    </row>
    <row r="614" spans="1:6" x14ac:dyDescent="0.3">
      <c r="A614">
        <v>2023</v>
      </c>
      <c r="B614">
        <v>8</v>
      </c>
      <c r="C614" t="s">
        <v>42</v>
      </c>
      <c r="D614" t="s">
        <v>48</v>
      </c>
      <c r="E614" t="s">
        <v>53</v>
      </c>
      <c r="F614">
        <v>48471.64</v>
      </c>
    </row>
    <row r="615" spans="1:6" x14ac:dyDescent="0.3">
      <c r="A615">
        <v>2023</v>
      </c>
      <c r="B615">
        <v>8</v>
      </c>
      <c r="C615" t="s">
        <v>43</v>
      </c>
      <c r="D615" t="s">
        <v>48</v>
      </c>
      <c r="E615" t="s">
        <v>53</v>
      </c>
      <c r="F615">
        <v>21046.2</v>
      </c>
    </row>
    <row r="616" spans="1:6" x14ac:dyDescent="0.3">
      <c r="A616">
        <v>2023</v>
      </c>
      <c r="B616">
        <v>8</v>
      </c>
      <c r="C616" t="s">
        <v>44</v>
      </c>
      <c r="D616" t="s">
        <v>48</v>
      </c>
      <c r="E616" t="s">
        <v>53</v>
      </c>
      <c r="F616">
        <v>78445.72</v>
      </c>
    </row>
    <row r="617" spans="1:6" x14ac:dyDescent="0.3">
      <c r="A617">
        <v>2023</v>
      </c>
      <c r="B617">
        <v>8</v>
      </c>
      <c r="C617" t="s">
        <v>45</v>
      </c>
      <c r="D617" t="s">
        <v>48</v>
      </c>
      <c r="E617" t="s">
        <v>53</v>
      </c>
      <c r="F617">
        <v>43735.49</v>
      </c>
    </row>
    <row r="618" spans="1:6" x14ac:dyDescent="0.3">
      <c r="A618">
        <v>2023</v>
      </c>
      <c r="B618">
        <v>8</v>
      </c>
      <c r="C618" t="s">
        <v>37</v>
      </c>
      <c r="D618" t="s">
        <v>48</v>
      </c>
      <c r="E618" t="s">
        <v>54</v>
      </c>
      <c r="F618">
        <v>50651.7</v>
      </c>
    </row>
    <row r="619" spans="1:6" x14ac:dyDescent="0.3">
      <c r="A619">
        <v>2023</v>
      </c>
      <c r="B619">
        <v>8</v>
      </c>
      <c r="C619" t="s">
        <v>40</v>
      </c>
      <c r="D619" t="s">
        <v>48</v>
      </c>
      <c r="E619" t="s">
        <v>54</v>
      </c>
      <c r="F619">
        <v>37893.919999999998</v>
      </c>
    </row>
    <row r="620" spans="1:6" x14ac:dyDescent="0.3">
      <c r="A620">
        <v>2023</v>
      </c>
      <c r="B620">
        <v>8</v>
      </c>
      <c r="C620" t="s">
        <v>41</v>
      </c>
      <c r="D620" t="s">
        <v>48</v>
      </c>
      <c r="E620" t="s">
        <v>54</v>
      </c>
      <c r="F620">
        <v>89334.32</v>
      </c>
    </row>
    <row r="621" spans="1:6" x14ac:dyDescent="0.3">
      <c r="A621">
        <v>2023</v>
      </c>
      <c r="B621">
        <v>8</v>
      </c>
      <c r="C621" t="s">
        <v>42</v>
      </c>
      <c r="D621" t="s">
        <v>48</v>
      </c>
      <c r="E621" t="s">
        <v>54</v>
      </c>
      <c r="F621">
        <v>46346.8</v>
      </c>
    </row>
    <row r="622" spans="1:6" x14ac:dyDescent="0.3">
      <c r="A622">
        <v>2023</v>
      </c>
      <c r="B622">
        <v>8</v>
      </c>
      <c r="C622" t="s">
        <v>43</v>
      </c>
      <c r="D622" t="s">
        <v>48</v>
      </c>
      <c r="E622" t="s">
        <v>54</v>
      </c>
      <c r="F622">
        <v>117412.87</v>
      </c>
    </row>
    <row r="623" spans="1:6" x14ac:dyDescent="0.3">
      <c r="A623">
        <v>2023</v>
      </c>
      <c r="B623">
        <v>8</v>
      </c>
      <c r="C623" t="s">
        <v>44</v>
      </c>
      <c r="D623" t="s">
        <v>48</v>
      </c>
      <c r="E623" t="s">
        <v>54</v>
      </c>
      <c r="F623">
        <v>111290.48</v>
      </c>
    </row>
    <row r="624" spans="1:6" x14ac:dyDescent="0.3">
      <c r="A624">
        <v>2023</v>
      </c>
      <c r="B624">
        <v>8</v>
      </c>
      <c r="C624" t="s">
        <v>45</v>
      </c>
      <c r="D624" t="s">
        <v>48</v>
      </c>
      <c r="E624" t="s">
        <v>54</v>
      </c>
      <c r="F624">
        <v>45744.58</v>
      </c>
    </row>
    <row r="625" spans="1:6" x14ac:dyDescent="0.3">
      <c r="A625">
        <v>2023</v>
      </c>
      <c r="B625">
        <v>8</v>
      </c>
      <c r="C625" t="s">
        <v>37</v>
      </c>
      <c r="D625" t="s">
        <v>48</v>
      </c>
      <c r="E625" t="s">
        <v>55</v>
      </c>
      <c r="F625">
        <v>94112.1</v>
      </c>
    </row>
    <row r="626" spans="1:6" x14ac:dyDescent="0.3">
      <c r="A626">
        <v>2023</v>
      </c>
      <c r="B626">
        <v>8</v>
      </c>
      <c r="C626" t="s">
        <v>40</v>
      </c>
      <c r="D626" t="s">
        <v>48</v>
      </c>
      <c r="E626" t="s">
        <v>55</v>
      </c>
      <c r="F626">
        <v>54355.41</v>
      </c>
    </row>
    <row r="627" spans="1:6" x14ac:dyDescent="0.3">
      <c r="A627">
        <v>2023</v>
      </c>
      <c r="B627">
        <v>8</v>
      </c>
      <c r="C627" t="s">
        <v>41</v>
      </c>
      <c r="D627" t="s">
        <v>48</v>
      </c>
      <c r="E627" t="s">
        <v>55</v>
      </c>
      <c r="F627">
        <v>81320.98</v>
      </c>
    </row>
    <row r="628" spans="1:6" x14ac:dyDescent="0.3">
      <c r="A628">
        <v>2023</v>
      </c>
      <c r="B628">
        <v>8</v>
      </c>
      <c r="C628" t="s">
        <v>42</v>
      </c>
      <c r="D628" t="s">
        <v>48</v>
      </c>
      <c r="E628" t="s">
        <v>55</v>
      </c>
      <c r="F628">
        <v>116555.9</v>
      </c>
    </row>
    <row r="629" spans="1:6" x14ac:dyDescent="0.3">
      <c r="A629">
        <v>2023</v>
      </c>
      <c r="B629">
        <v>8</v>
      </c>
      <c r="C629" t="s">
        <v>43</v>
      </c>
      <c r="D629" t="s">
        <v>48</v>
      </c>
      <c r="E629" t="s">
        <v>55</v>
      </c>
      <c r="F629">
        <v>53970.93</v>
      </c>
    </row>
    <row r="630" spans="1:6" x14ac:dyDescent="0.3">
      <c r="A630">
        <v>2023</v>
      </c>
      <c r="B630">
        <v>8</v>
      </c>
      <c r="C630" t="s">
        <v>44</v>
      </c>
      <c r="D630" t="s">
        <v>48</v>
      </c>
      <c r="E630" t="s">
        <v>55</v>
      </c>
      <c r="F630">
        <v>65542.3</v>
      </c>
    </row>
    <row r="631" spans="1:6" x14ac:dyDescent="0.3">
      <c r="A631">
        <v>2023</v>
      </c>
      <c r="B631">
        <v>8</v>
      </c>
      <c r="C631" t="s">
        <v>45</v>
      </c>
      <c r="D631" t="s">
        <v>48</v>
      </c>
      <c r="E631" t="s">
        <v>55</v>
      </c>
      <c r="F631">
        <v>50637.440000000002</v>
      </c>
    </row>
    <row r="632" spans="1:6" x14ac:dyDescent="0.3">
      <c r="A632">
        <v>2023</v>
      </c>
      <c r="B632">
        <v>8</v>
      </c>
      <c r="C632" t="s">
        <v>37</v>
      </c>
      <c r="D632" t="s">
        <v>48</v>
      </c>
      <c r="E632" t="s">
        <v>56</v>
      </c>
      <c r="F632">
        <v>53264.639999999999</v>
      </c>
    </row>
    <row r="633" spans="1:6" x14ac:dyDescent="0.3">
      <c r="A633">
        <v>2023</v>
      </c>
      <c r="B633">
        <v>8</v>
      </c>
      <c r="C633" t="s">
        <v>40</v>
      </c>
      <c r="D633" t="s">
        <v>48</v>
      </c>
      <c r="E633" t="s">
        <v>56</v>
      </c>
      <c r="F633">
        <v>50522.879999999997</v>
      </c>
    </row>
    <row r="634" spans="1:6" x14ac:dyDescent="0.3">
      <c r="A634">
        <v>2023</v>
      </c>
      <c r="B634">
        <v>8</v>
      </c>
      <c r="C634" t="s">
        <v>41</v>
      </c>
      <c r="D634" t="s">
        <v>48</v>
      </c>
      <c r="E634" t="s">
        <v>56</v>
      </c>
      <c r="F634">
        <v>64444.35</v>
      </c>
    </row>
    <row r="635" spans="1:6" x14ac:dyDescent="0.3">
      <c r="A635">
        <v>2023</v>
      </c>
      <c r="B635">
        <v>8</v>
      </c>
      <c r="C635" t="s">
        <v>42</v>
      </c>
      <c r="D635" t="s">
        <v>48</v>
      </c>
      <c r="E635" t="s">
        <v>56</v>
      </c>
      <c r="F635">
        <v>90638.02</v>
      </c>
    </row>
    <row r="636" spans="1:6" x14ac:dyDescent="0.3">
      <c r="A636">
        <v>2023</v>
      </c>
      <c r="B636">
        <v>8</v>
      </c>
      <c r="C636" t="s">
        <v>43</v>
      </c>
      <c r="D636" t="s">
        <v>48</v>
      </c>
      <c r="E636" t="s">
        <v>56</v>
      </c>
      <c r="F636">
        <v>80753.789999999994</v>
      </c>
    </row>
    <row r="637" spans="1:6" x14ac:dyDescent="0.3">
      <c r="A637">
        <v>2023</v>
      </c>
      <c r="B637">
        <v>8</v>
      </c>
      <c r="C637" t="s">
        <v>44</v>
      </c>
      <c r="D637" t="s">
        <v>48</v>
      </c>
      <c r="E637" t="s">
        <v>56</v>
      </c>
      <c r="F637">
        <v>113187.18</v>
      </c>
    </row>
    <row r="638" spans="1:6" x14ac:dyDescent="0.3">
      <c r="A638">
        <v>2023</v>
      </c>
      <c r="B638">
        <v>8</v>
      </c>
      <c r="C638" t="s">
        <v>45</v>
      </c>
      <c r="D638" t="s">
        <v>48</v>
      </c>
      <c r="E638" t="s">
        <v>56</v>
      </c>
      <c r="F638">
        <v>55323.98</v>
      </c>
    </row>
    <row r="639" spans="1:6" x14ac:dyDescent="0.3">
      <c r="A639">
        <v>2023</v>
      </c>
      <c r="B639">
        <v>8</v>
      </c>
      <c r="C639" t="s">
        <v>37</v>
      </c>
      <c r="D639" t="s">
        <v>57</v>
      </c>
      <c r="E639" t="s">
        <v>58</v>
      </c>
      <c r="F639">
        <v>32243.63</v>
      </c>
    </row>
    <row r="640" spans="1:6" x14ac:dyDescent="0.3">
      <c r="A640">
        <v>2023</v>
      </c>
      <c r="B640">
        <v>8</v>
      </c>
      <c r="C640" t="s">
        <v>37</v>
      </c>
      <c r="D640" t="s">
        <v>57</v>
      </c>
      <c r="E640" t="s">
        <v>59</v>
      </c>
      <c r="F640">
        <v>15260.21</v>
      </c>
    </row>
    <row r="641" spans="1:6" x14ac:dyDescent="0.3">
      <c r="A641">
        <v>2023</v>
      </c>
      <c r="B641">
        <v>8</v>
      </c>
      <c r="C641" t="s">
        <v>37</v>
      </c>
      <c r="D641" t="s">
        <v>57</v>
      </c>
      <c r="E641" t="s">
        <v>60</v>
      </c>
      <c r="F641">
        <v>34971.5</v>
      </c>
    </row>
    <row r="642" spans="1:6" x14ac:dyDescent="0.3">
      <c r="A642">
        <v>2023</v>
      </c>
      <c r="B642">
        <v>9</v>
      </c>
      <c r="C642" t="s">
        <v>37</v>
      </c>
      <c r="D642" t="s">
        <v>38</v>
      </c>
      <c r="E642" t="s">
        <v>39</v>
      </c>
      <c r="F642">
        <v>101358.18</v>
      </c>
    </row>
    <row r="643" spans="1:6" x14ac:dyDescent="0.3">
      <c r="A643">
        <v>2023</v>
      </c>
      <c r="B643">
        <v>9</v>
      </c>
      <c r="C643" t="s">
        <v>40</v>
      </c>
      <c r="D643" t="s">
        <v>38</v>
      </c>
      <c r="E643" t="s">
        <v>39</v>
      </c>
      <c r="F643">
        <v>89281.66</v>
      </c>
    </row>
    <row r="644" spans="1:6" x14ac:dyDescent="0.3">
      <c r="A644">
        <v>2023</v>
      </c>
      <c r="B644">
        <v>9</v>
      </c>
      <c r="C644" t="s">
        <v>41</v>
      </c>
      <c r="D644" t="s">
        <v>38</v>
      </c>
      <c r="E644" t="s">
        <v>39</v>
      </c>
      <c r="F644">
        <v>52126.67</v>
      </c>
    </row>
    <row r="645" spans="1:6" x14ac:dyDescent="0.3">
      <c r="A645">
        <v>2023</v>
      </c>
      <c r="B645">
        <v>9</v>
      </c>
      <c r="C645" t="s">
        <v>42</v>
      </c>
      <c r="D645" t="s">
        <v>38</v>
      </c>
      <c r="E645" t="s">
        <v>39</v>
      </c>
      <c r="F645">
        <v>70711.78</v>
      </c>
    </row>
    <row r="646" spans="1:6" x14ac:dyDescent="0.3">
      <c r="A646">
        <v>2023</v>
      </c>
      <c r="B646">
        <v>9</v>
      </c>
      <c r="C646" t="s">
        <v>43</v>
      </c>
      <c r="D646" t="s">
        <v>38</v>
      </c>
      <c r="E646" t="s">
        <v>39</v>
      </c>
      <c r="F646">
        <v>10752.38</v>
      </c>
    </row>
    <row r="647" spans="1:6" x14ac:dyDescent="0.3">
      <c r="A647">
        <v>2023</v>
      </c>
      <c r="B647">
        <v>9</v>
      </c>
      <c r="C647" t="s">
        <v>44</v>
      </c>
      <c r="D647" t="s">
        <v>38</v>
      </c>
      <c r="E647" t="s">
        <v>39</v>
      </c>
      <c r="F647">
        <v>43794.6</v>
      </c>
    </row>
    <row r="648" spans="1:6" x14ac:dyDescent="0.3">
      <c r="A648">
        <v>2023</v>
      </c>
      <c r="B648">
        <v>9</v>
      </c>
      <c r="C648" t="s">
        <v>45</v>
      </c>
      <c r="D648" t="s">
        <v>38</v>
      </c>
      <c r="E648" t="s">
        <v>39</v>
      </c>
      <c r="F648">
        <v>119575.85</v>
      </c>
    </row>
    <row r="649" spans="1:6" x14ac:dyDescent="0.3">
      <c r="A649">
        <v>2023</v>
      </c>
      <c r="B649">
        <v>9</v>
      </c>
      <c r="C649" t="s">
        <v>37</v>
      </c>
      <c r="D649" t="s">
        <v>38</v>
      </c>
      <c r="E649" t="s">
        <v>46</v>
      </c>
      <c r="F649">
        <v>37572.65</v>
      </c>
    </row>
    <row r="650" spans="1:6" x14ac:dyDescent="0.3">
      <c r="A650">
        <v>2023</v>
      </c>
      <c r="B650">
        <v>9</v>
      </c>
      <c r="C650" t="s">
        <v>40</v>
      </c>
      <c r="D650" t="s">
        <v>38</v>
      </c>
      <c r="E650" t="s">
        <v>46</v>
      </c>
      <c r="F650">
        <v>15579.61</v>
      </c>
    </row>
    <row r="651" spans="1:6" x14ac:dyDescent="0.3">
      <c r="A651">
        <v>2023</v>
      </c>
      <c r="B651">
        <v>9</v>
      </c>
      <c r="C651" t="s">
        <v>41</v>
      </c>
      <c r="D651" t="s">
        <v>38</v>
      </c>
      <c r="E651" t="s">
        <v>46</v>
      </c>
      <c r="F651">
        <v>76811</v>
      </c>
    </row>
    <row r="652" spans="1:6" x14ac:dyDescent="0.3">
      <c r="A652">
        <v>2023</v>
      </c>
      <c r="B652">
        <v>9</v>
      </c>
      <c r="C652" t="s">
        <v>42</v>
      </c>
      <c r="D652" t="s">
        <v>38</v>
      </c>
      <c r="E652" t="s">
        <v>46</v>
      </c>
      <c r="F652">
        <v>77388.67</v>
      </c>
    </row>
    <row r="653" spans="1:6" x14ac:dyDescent="0.3">
      <c r="A653">
        <v>2023</v>
      </c>
      <c r="B653">
        <v>9</v>
      </c>
      <c r="C653" t="s">
        <v>43</v>
      </c>
      <c r="D653" t="s">
        <v>38</v>
      </c>
      <c r="E653" t="s">
        <v>46</v>
      </c>
      <c r="F653">
        <v>99712.42</v>
      </c>
    </row>
    <row r="654" spans="1:6" x14ac:dyDescent="0.3">
      <c r="A654">
        <v>2023</v>
      </c>
      <c r="B654">
        <v>9</v>
      </c>
      <c r="C654" t="s">
        <v>44</v>
      </c>
      <c r="D654" t="s">
        <v>38</v>
      </c>
      <c r="E654" t="s">
        <v>46</v>
      </c>
      <c r="F654">
        <v>65351.61</v>
      </c>
    </row>
    <row r="655" spans="1:6" x14ac:dyDescent="0.3">
      <c r="A655">
        <v>2023</v>
      </c>
      <c r="B655">
        <v>9</v>
      </c>
      <c r="C655" t="s">
        <v>45</v>
      </c>
      <c r="D655" t="s">
        <v>38</v>
      </c>
      <c r="E655" t="s">
        <v>46</v>
      </c>
      <c r="F655">
        <v>31052.76</v>
      </c>
    </row>
    <row r="656" spans="1:6" x14ac:dyDescent="0.3">
      <c r="A656">
        <v>2023</v>
      </c>
      <c r="B656">
        <v>9</v>
      </c>
      <c r="C656" t="s">
        <v>37</v>
      </c>
      <c r="D656" t="s">
        <v>38</v>
      </c>
      <c r="E656" t="s">
        <v>47</v>
      </c>
      <c r="F656">
        <v>110323.59</v>
      </c>
    </row>
    <row r="657" spans="1:6" x14ac:dyDescent="0.3">
      <c r="A657">
        <v>2023</v>
      </c>
      <c r="B657">
        <v>9</v>
      </c>
      <c r="C657" t="s">
        <v>40</v>
      </c>
      <c r="D657" t="s">
        <v>38</v>
      </c>
      <c r="E657" t="s">
        <v>47</v>
      </c>
      <c r="F657">
        <v>38510.68</v>
      </c>
    </row>
    <row r="658" spans="1:6" x14ac:dyDescent="0.3">
      <c r="A658">
        <v>2023</v>
      </c>
      <c r="B658">
        <v>9</v>
      </c>
      <c r="C658" t="s">
        <v>41</v>
      </c>
      <c r="D658" t="s">
        <v>38</v>
      </c>
      <c r="E658" t="s">
        <v>47</v>
      </c>
      <c r="F658">
        <v>63636.5</v>
      </c>
    </row>
    <row r="659" spans="1:6" x14ac:dyDescent="0.3">
      <c r="A659">
        <v>2023</v>
      </c>
      <c r="B659">
        <v>9</v>
      </c>
      <c r="C659" t="s">
        <v>42</v>
      </c>
      <c r="D659" t="s">
        <v>38</v>
      </c>
      <c r="E659" t="s">
        <v>47</v>
      </c>
      <c r="F659">
        <v>86630.67</v>
      </c>
    </row>
    <row r="660" spans="1:6" x14ac:dyDescent="0.3">
      <c r="A660">
        <v>2023</v>
      </c>
      <c r="B660">
        <v>9</v>
      </c>
      <c r="C660" t="s">
        <v>43</v>
      </c>
      <c r="D660" t="s">
        <v>38</v>
      </c>
      <c r="E660" t="s">
        <v>47</v>
      </c>
      <c r="F660">
        <v>22419.34</v>
      </c>
    </row>
    <row r="661" spans="1:6" x14ac:dyDescent="0.3">
      <c r="A661">
        <v>2023</v>
      </c>
      <c r="B661">
        <v>9</v>
      </c>
      <c r="C661" t="s">
        <v>44</v>
      </c>
      <c r="D661" t="s">
        <v>38</v>
      </c>
      <c r="E661" t="s">
        <v>47</v>
      </c>
      <c r="F661">
        <v>65669.759999999995</v>
      </c>
    </row>
    <row r="662" spans="1:6" x14ac:dyDescent="0.3">
      <c r="A662">
        <v>2023</v>
      </c>
      <c r="B662">
        <v>9</v>
      </c>
      <c r="C662" t="s">
        <v>45</v>
      </c>
      <c r="D662" t="s">
        <v>38</v>
      </c>
      <c r="E662" t="s">
        <v>47</v>
      </c>
      <c r="F662">
        <v>86323.36</v>
      </c>
    </row>
    <row r="663" spans="1:6" x14ac:dyDescent="0.3">
      <c r="A663">
        <v>2023</v>
      </c>
      <c r="B663">
        <v>9</v>
      </c>
      <c r="C663" t="s">
        <v>37</v>
      </c>
      <c r="D663" t="s">
        <v>48</v>
      </c>
      <c r="E663" t="s">
        <v>49</v>
      </c>
      <c r="F663">
        <v>111850.99</v>
      </c>
    </row>
    <row r="664" spans="1:6" x14ac:dyDescent="0.3">
      <c r="A664">
        <v>2023</v>
      </c>
      <c r="B664">
        <v>9</v>
      </c>
      <c r="C664" t="s">
        <v>40</v>
      </c>
      <c r="D664" t="s">
        <v>48</v>
      </c>
      <c r="E664" t="s">
        <v>49</v>
      </c>
      <c r="F664">
        <v>28200.37</v>
      </c>
    </row>
    <row r="665" spans="1:6" x14ac:dyDescent="0.3">
      <c r="A665">
        <v>2023</v>
      </c>
      <c r="B665">
        <v>9</v>
      </c>
      <c r="C665" t="s">
        <v>41</v>
      </c>
      <c r="D665" t="s">
        <v>48</v>
      </c>
      <c r="E665" t="s">
        <v>49</v>
      </c>
      <c r="F665">
        <v>17407.07</v>
      </c>
    </row>
    <row r="666" spans="1:6" x14ac:dyDescent="0.3">
      <c r="A666">
        <v>2023</v>
      </c>
      <c r="B666">
        <v>9</v>
      </c>
      <c r="C666" t="s">
        <v>42</v>
      </c>
      <c r="D666" t="s">
        <v>48</v>
      </c>
      <c r="E666" t="s">
        <v>49</v>
      </c>
      <c r="F666">
        <v>110153.73</v>
      </c>
    </row>
    <row r="667" spans="1:6" x14ac:dyDescent="0.3">
      <c r="A667">
        <v>2023</v>
      </c>
      <c r="B667">
        <v>9</v>
      </c>
      <c r="C667" t="s">
        <v>43</v>
      </c>
      <c r="D667" t="s">
        <v>48</v>
      </c>
      <c r="E667" t="s">
        <v>49</v>
      </c>
      <c r="F667">
        <v>26736.15</v>
      </c>
    </row>
    <row r="668" spans="1:6" x14ac:dyDescent="0.3">
      <c r="A668">
        <v>2023</v>
      </c>
      <c r="B668">
        <v>9</v>
      </c>
      <c r="C668" t="s">
        <v>44</v>
      </c>
      <c r="D668" t="s">
        <v>48</v>
      </c>
      <c r="E668" t="s">
        <v>49</v>
      </c>
      <c r="F668">
        <v>55797.66</v>
      </c>
    </row>
    <row r="669" spans="1:6" x14ac:dyDescent="0.3">
      <c r="A669">
        <v>2023</v>
      </c>
      <c r="B669">
        <v>9</v>
      </c>
      <c r="C669" t="s">
        <v>45</v>
      </c>
      <c r="D669" t="s">
        <v>48</v>
      </c>
      <c r="E669" t="s">
        <v>49</v>
      </c>
      <c r="F669">
        <v>37577.620000000003</v>
      </c>
    </row>
    <row r="670" spans="1:6" x14ac:dyDescent="0.3">
      <c r="A670">
        <v>2023</v>
      </c>
      <c r="B670">
        <v>9</v>
      </c>
      <c r="C670" t="s">
        <v>37</v>
      </c>
      <c r="D670" t="s">
        <v>48</v>
      </c>
      <c r="E670" t="s">
        <v>50</v>
      </c>
      <c r="F670">
        <v>82997.25</v>
      </c>
    </row>
    <row r="671" spans="1:6" x14ac:dyDescent="0.3">
      <c r="A671">
        <v>2023</v>
      </c>
      <c r="B671">
        <v>9</v>
      </c>
      <c r="C671" t="s">
        <v>40</v>
      </c>
      <c r="D671" t="s">
        <v>48</v>
      </c>
      <c r="E671" t="s">
        <v>50</v>
      </c>
      <c r="F671">
        <v>118381.08</v>
      </c>
    </row>
    <row r="672" spans="1:6" x14ac:dyDescent="0.3">
      <c r="A672">
        <v>2023</v>
      </c>
      <c r="B672">
        <v>9</v>
      </c>
      <c r="C672" t="s">
        <v>41</v>
      </c>
      <c r="D672" t="s">
        <v>48</v>
      </c>
      <c r="E672" t="s">
        <v>50</v>
      </c>
      <c r="F672">
        <v>90512.54</v>
      </c>
    </row>
    <row r="673" spans="1:6" x14ac:dyDescent="0.3">
      <c r="A673">
        <v>2023</v>
      </c>
      <c r="B673">
        <v>9</v>
      </c>
      <c r="C673" t="s">
        <v>42</v>
      </c>
      <c r="D673" t="s">
        <v>48</v>
      </c>
      <c r="E673" t="s">
        <v>50</v>
      </c>
      <c r="F673">
        <v>72240.160000000003</v>
      </c>
    </row>
    <row r="674" spans="1:6" x14ac:dyDescent="0.3">
      <c r="A674">
        <v>2023</v>
      </c>
      <c r="B674">
        <v>9</v>
      </c>
      <c r="C674" t="s">
        <v>43</v>
      </c>
      <c r="D674" t="s">
        <v>48</v>
      </c>
      <c r="E674" t="s">
        <v>50</v>
      </c>
      <c r="F674">
        <v>73497.11</v>
      </c>
    </row>
    <row r="675" spans="1:6" x14ac:dyDescent="0.3">
      <c r="A675">
        <v>2023</v>
      </c>
      <c r="B675">
        <v>9</v>
      </c>
      <c r="C675" t="s">
        <v>44</v>
      </c>
      <c r="D675" t="s">
        <v>48</v>
      </c>
      <c r="E675" t="s">
        <v>50</v>
      </c>
      <c r="F675">
        <v>42702.45</v>
      </c>
    </row>
    <row r="676" spans="1:6" x14ac:dyDescent="0.3">
      <c r="A676">
        <v>2023</v>
      </c>
      <c r="B676">
        <v>9</v>
      </c>
      <c r="C676" t="s">
        <v>45</v>
      </c>
      <c r="D676" t="s">
        <v>48</v>
      </c>
      <c r="E676" t="s">
        <v>50</v>
      </c>
      <c r="F676">
        <v>108167.34</v>
      </c>
    </row>
    <row r="677" spans="1:6" x14ac:dyDescent="0.3">
      <c r="A677">
        <v>2023</v>
      </c>
      <c r="B677">
        <v>9</v>
      </c>
      <c r="C677" t="s">
        <v>37</v>
      </c>
      <c r="D677" t="s">
        <v>48</v>
      </c>
      <c r="E677" t="s">
        <v>51</v>
      </c>
      <c r="F677">
        <v>19169.599999999999</v>
      </c>
    </row>
    <row r="678" spans="1:6" x14ac:dyDescent="0.3">
      <c r="A678">
        <v>2023</v>
      </c>
      <c r="B678">
        <v>9</v>
      </c>
      <c r="C678" t="s">
        <v>40</v>
      </c>
      <c r="D678" t="s">
        <v>48</v>
      </c>
      <c r="E678" t="s">
        <v>51</v>
      </c>
      <c r="F678">
        <v>21919.13</v>
      </c>
    </row>
    <row r="679" spans="1:6" x14ac:dyDescent="0.3">
      <c r="A679">
        <v>2023</v>
      </c>
      <c r="B679">
        <v>9</v>
      </c>
      <c r="C679" t="s">
        <v>41</v>
      </c>
      <c r="D679" t="s">
        <v>48</v>
      </c>
      <c r="E679" t="s">
        <v>51</v>
      </c>
      <c r="F679">
        <v>84152.25</v>
      </c>
    </row>
    <row r="680" spans="1:6" x14ac:dyDescent="0.3">
      <c r="A680">
        <v>2023</v>
      </c>
      <c r="B680">
        <v>9</v>
      </c>
      <c r="C680" t="s">
        <v>42</v>
      </c>
      <c r="D680" t="s">
        <v>48</v>
      </c>
      <c r="E680" t="s">
        <v>51</v>
      </c>
      <c r="F680">
        <v>75191.360000000001</v>
      </c>
    </row>
    <row r="681" spans="1:6" x14ac:dyDescent="0.3">
      <c r="A681">
        <v>2023</v>
      </c>
      <c r="B681">
        <v>9</v>
      </c>
      <c r="C681" t="s">
        <v>43</v>
      </c>
      <c r="D681" t="s">
        <v>48</v>
      </c>
      <c r="E681" t="s">
        <v>51</v>
      </c>
      <c r="F681">
        <v>55340.68</v>
      </c>
    </row>
    <row r="682" spans="1:6" x14ac:dyDescent="0.3">
      <c r="A682">
        <v>2023</v>
      </c>
      <c r="B682">
        <v>9</v>
      </c>
      <c r="C682" t="s">
        <v>44</v>
      </c>
      <c r="D682" t="s">
        <v>48</v>
      </c>
      <c r="E682" t="s">
        <v>51</v>
      </c>
      <c r="F682">
        <v>113344.52</v>
      </c>
    </row>
    <row r="683" spans="1:6" x14ac:dyDescent="0.3">
      <c r="A683">
        <v>2023</v>
      </c>
      <c r="B683">
        <v>9</v>
      </c>
      <c r="C683" t="s">
        <v>45</v>
      </c>
      <c r="D683" t="s">
        <v>48</v>
      </c>
      <c r="E683" t="s">
        <v>51</v>
      </c>
      <c r="F683">
        <v>25113.34</v>
      </c>
    </row>
    <row r="684" spans="1:6" x14ac:dyDescent="0.3">
      <c r="A684">
        <v>2023</v>
      </c>
      <c r="B684">
        <v>9</v>
      </c>
      <c r="C684" t="s">
        <v>37</v>
      </c>
      <c r="D684" t="s">
        <v>48</v>
      </c>
      <c r="E684" t="s">
        <v>52</v>
      </c>
      <c r="F684">
        <v>52341.33</v>
      </c>
    </row>
    <row r="685" spans="1:6" x14ac:dyDescent="0.3">
      <c r="A685">
        <v>2023</v>
      </c>
      <c r="B685">
        <v>9</v>
      </c>
      <c r="C685" t="s">
        <v>40</v>
      </c>
      <c r="D685" t="s">
        <v>48</v>
      </c>
      <c r="E685" t="s">
        <v>52</v>
      </c>
      <c r="F685">
        <v>93879.94</v>
      </c>
    </row>
    <row r="686" spans="1:6" x14ac:dyDescent="0.3">
      <c r="A686">
        <v>2023</v>
      </c>
      <c r="B686">
        <v>9</v>
      </c>
      <c r="C686" t="s">
        <v>41</v>
      </c>
      <c r="D686" t="s">
        <v>48</v>
      </c>
      <c r="E686" t="s">
        <v>52</v>
      </c>
      <c r="F686">
        <v>25452.63</v>
      </c>
    </row>
    <row r="687" spans="1:6" x14ac:dyDescent="0.3">
      <c r="A687">
        <v>2023</v>
      </c>
      <c r="B687">
        <v>9</v>
      </c>
      <c r="C687" t="s">
        <v>42</v>
      </c>
      <c r="D687" t="s">
        <v>48</v>
      </c>
      <c r="E687" t="s">
        <v>52</v>
      </c>
      <c r="F687">
        <v>80743.75</v>
      </c>
    </row>
    <row r="688" spans="1:6" x14ac:dyDescent="0.3">
      <c r="A688">
        <v>2023</v>
      </c>
      <c r="B688">
        <v>9</v>
      </c>
      <c r="C688" t="s">
        <v>43</v>
      </c>
      <c r="D688" t="s">
        <v>48</v>
      </c>
      <c r="E688" t="s">
        <v>52</v>
      </c>
      <c r="F688">
        <v>100287</v>
      </c>
    </row>
    <row r="689" spans="1:6" x14ac:dyDescent="0.3">
      <c r="A689">
        <v>2023</v>
      </c>
      <c r="B689">
        <v>9</v>
      </c>
      <c r="C689" t="s">
        <v>44</v>
      </c>
      <c r="D689" t="s">
        <v>48</v>
      </c>
      <c r="E689" t="s">
        <v>52</v>
      </c>
      <c r="F689">
        <v>107560.68</v>
      </c>
    </row>
    <row r="690" spans="1:6" x14ac:dyDescent="0.3">
      <c r="A690">
        <v>2023</v>
      </c>
      <c r="B690">
        <v>9</v>
      </c>
      <c r="C690" t="s">
        <v>45</v>
      </c>
      <c r="D690" t="s">
        <v>48</v>
      </c>
      <c r="E690" t="s">
        <v>52</v>
      </c>
      <c r="F690">
        <v>94425.279999999999</v>
      </c>
    </row>
    <row r="691" spans="1:6" x14ac:dyDescent="0.3">
      <c r="A691">
        <v>2023</v>
      </c>
      <c r="B691">
        <v>9</v>
      </c>
      <c r="C691" t="s">
        <v>37</v>
      </c>
      <c r="D691" t="s">
        <v>48</v>
      </c>
      <c r="E691" t="s">
        <v>53</v>
      </c>
      <c r="F691">
        <v>88011.47</v>
      </c>
    </row>
    <row r="692" spans="1:6" x14ac:dyDescent="0.3">
      <c r="A692">
        <v>2023</v>
      </c>
      <c r="B692">
        <v>9</v>
      </c>
      <c r="C692" t="s">
        <v>40</v>
      </c>
      <c r="D692" t="s">
        <v>48</v>
      </c>
      <c r="E692" t="s">
        <v>53</v>
      </c>
      <c r="F692">
        <v>111897.16</v>
      </c>
    </row>
    <row r="693" spans="1:6" x14ac:dyDescent="0.3">
      <c r="A693">
        <v>2023</v>
      </c>
      <c r="B693">
        <v>9</v>
      </c>
      <c r="C693" t="s">
        <v>41</v>
      </c>
      <c r="D693" t="s">
        <v>48</v>
      </c>
      <c r="E693" t="s">
        <v>53</v>
      </c>
      <c r="F693">
        <v>83090.33</v>
      </c>
    </row>
    <row r="694" spans="1:6" x14ac:dyDescent="0.3">
      <c r="A694">
        <v>2023</v>
      </c>
      <c r="B694">
        <v>9</v>
      </c>
      <c r="C694" t="s">
        <v>42</v>
      </c>
      <c r="D694" t="s">
        <v>48</v>
      </c>
      <c r="E694" t="s">
        <v>53</v>
      </c>
      <c r="F694">
        <v>89972.99</v>
      </c>
    </row>
    <row r="695" spans="1:6" x14ac:dyDescent="0.3">
      <c r="A695">
        <v>2023</v>
      </c>
      <c r="B695">
        <v>9</v>
      </c>
      <c r="C695" t="s">
        <v>43</v>
      </c>
      <c r="D695" t="s">
        <v>48</v>
      </c>
      <c r="E695" t="s">
        <v>53</v>
      </c>
      <c r="F695">
        <v>86270.42</v>
      </c>
    </row>
    <row r="696" spans="1:6" x14ac:dyDescent="0.3">
      <c r="A696">
        <v>2023</v>
      </c>
      <c r="B696">
        <v>9</v>
      </c>
      <c r="C696" t="s">
        <v>44</v>
      </c>
      <c r="D696" t="s">
        <v>48</v>
      </c>
      <c r="E696" t="s">
        <v>53</v>
      </c>
      <c r="F696">
        <v>53010.41</v>
      </c>
    </row>
    <row r="697" spans="1:6" x14ac:dyDescent="0.3">
      <c r="A697">
        <v>2023</v>
      </c>
      <c r="B697">
        <v>9</v>
      </c>
      <c r="C697" t="s">
        <v>45</v>
      </c>
      <c r="D697" t="s">
        <v>48</v>
      </c>
      <c r="E697" t="s">
        <v>53</v>
      </c>
      <c r="F697">
        <v>22504.7</v>
      </c>
    </row>
    <row r="698" spans="1:6" x14ac:dyDescent="0.3">
      <c r="A698">
        <v>2023</v>
      </c>
      <c r="B698">
        <v>9</v>
      </c>
      <c r="C698" t="s">
        <v>37</v>
      </c>
      <c r="D698" t="s">
        <v>48</v>
      </c>
      <c r="E698" t="s">
        <v>54</v>
      </c>
      <c r="F698">
        <v>10436.26</v>
      </c>
    </row>
    <row r="699" spans="1:6" x14ac:dyDescent="0.3">
      <c r="A699">
        <v>2023</v>
      </c>
      <c r="B699">
        <v>9</v>
      </c>
      <c r="C699" t="s">
        <v>40</v>
      </c>
      <c r="D699" t="s">
        <v>48</v>
      </c>
      <c r="E699" t="s">
        <v>54</v>
      </c>
      <c r="F699">
        <v>73589.88</v>
      </c>
    </row>
    <row r="700" spans="1:6" x14ac:dyDescent="0.3">
      <c r="A700">
        <v>2023</v>
      </c>
      <c r="B700">
        <v>9</v>
      </c>
      <c r="C700" t="s">
        <v>41</v>
      </c>
      <c r="D700" t="s">
        <v>48</v>
      </c>
      <c r="E700" t="s">
        <v>54</v>
      </c>
      <c r="F700">
        <v>39679.379999999997</v>
      </c>
    </row>
    <row r="701" spans="1:6" x14ac:dyDescent="0.3">
      <c r="A701">
        <v>2023</v>
      </c>
      <c r="B701">
        <v>9</v>
      </c>
      <c r="C701" t="s">
        <v>42</v>
      </c>
      <c r="D701" t="s">
        <v>48</v>
      </c>
      <c r="E701" t="s">
        <v>54</v>
      </c>
      <c r="F701">
        <v>29544.7</v>
      </c>
    </row>
    <row r="702" spans="1:6" x14ac:dyDescent="0.3">
      <c r="A702">
        <v>2023</v>
      </c>
      <c r="B702">
        <v>9</v>
      </c>
      <c r="C702" t="s">
        <v>43</v>
      </c>
      <c r="D702" t="s">
        <v>48</v>
      </c>
      <c r="E702" t="s">
        <v>54</v>
      </c>
      <c r="F702">
        <v>23309.68</v>
      </c>
    </row>
    <row r="703" spans="1:6" x14ac:dyDescent="0.3">
      <c r="A703">
        <v>2023</v>
      </c>
      <c r="B703">
        <v>9</v>
      </c>
      <c r="C703" t="s">
        <v>44</v>
      </c>
      <c r="D703" t="s">
        <v>48</v>
      </c>
      <c r="E703" t="s">
        <v>54</v>
      </c>
      <c r="F703">
        <v>69670.880000000005</v>
      </c>
    </row>
    <row r="704" spans="1:6" x14ac:dyDescent="0.3">
      <c r="A704">
        <v>2023</v>
      </c>
      <c r="B704">
        <v>9</v>
      </c>
      <c r="C704" t="s">
        <v>45</v>
      </c>
      <c r="D704" t="s">
        <v>48</v>
      </c>
      <c r="E704" t="s">
        <v>54</v>
      </c>
      <c r="F704">
        <v>16779.990000000002</v>
      </c>
    </row>
    <row r="705" spans="1:6" x14ac:dyDescent="0.3">
      <c r="A705">
        <v>2023</v>
      </c>
      <c r="B705">
        <v>9</v>
      </c>
      <c r="C705" t="s">
        <v>37</v>
      </c>
      <c r="D705" t="s">
        <v>48</v>
      </c>
      <c r="E705" t="s">
        <v>55</v>
      </c>
      <c r="F705">
        <v>83304.88</v>
      </c>
    </row>
    <row r="706" spans="1:6" x14ac:dyDescent="0.3">
      <c r="A706">
        <v>2023</v>
      </c>
      <c r="B706">
        <v>9</v>
      </c>
      <c r="C706" t="s">
        <v>40</v>
      </c>
      <c r="D706" t="s">
        <v>48</v>
      </c>
      <c r="E706" t="s">
        <v>55</v>
      </c>
      <c r="F706">
        <v>24680.78</v>
      </c>
    </row>
    <row r="707" spans="1:6" x14ac:dyDescent="0.3">
      <c r="A707">
        <v>2023</v>
      </c>
      <c r="B707">
        <v>9</v>
      </c>
      <c r="C707" t="s">
        <v>41</v>
      </c>
      <c r="D707" t="s">
        <v>48</v>
      </c>
      <c r="E707" t="s">
        <v>55</v>
      </c>
      <c r="F707">
        <v>49562.21</v>
      </c>
    </row>
    <row r="708" spans="1:6" x14ac:dyDescent="0.3">
      <c r="A708">
        <v>2023</v>
      </c>
      <c r="B708">
        <v>9</v>
      </c>
      <c r="C708" t="s">
        <v>42</v>
      </c>
      <c r="D708" t="s">
        <v>48</v>
      </c>
      <c r="E708" t="s">
        <v>55</v>
      </c>
      <c r="F708">
        <v>99588.39</v>
      </c>
    </row>
    <row r="709" spans="1:6" x14ac:dyDescent="0.3">
      <c r="A709">
        <v>2023</v>
      </c>
      <c r="B709">
        <v>9</v>
      </c>
      <c r="C709" t="s">
        <v>43</v>
      </c>
      <c r="D709" t="s">
        <v>48</v>
      </c>
      <c r="E709" t="s">
        <v>55</v>
      </c>
      <c r="F709">
        <v>109634.12</v>
      </c>
    </row>
    <row r="710" spans="1:6" x14ac:dyDescent="0.3">
      <c r="A710">
        <v>2023</v>
      </c>
      <c r="B710">
        <v>9</v>
      </c>
      <c r="C710" t="s">
        <v>44</v>
      </c>
      <c r="D710" t="s">
        <v>48</v>
      </c>
      <c r="E710" t="s">
        <v>55</v>
      </c>
      <c r="F710">
        <v>37202.230000000003</v>
      </c>
    </row>
    <row r="711" spans="1:6" x14ac:dyDescent="0.3">
      <c r="A711">
        <v>2023</v>
      </c>
      <c r="B711">
        <v>9</v>
      </c>
      <c r="C711" t="s">
        <v>45</v>
      </c>
      <c r="D711" t="s">
        <v>48</v>
      </c>
      <c r="E711" t="s">
        <v>55</v>
      </c>
      <c r="F711">
        <v>54290.64</v>
      </c>
    </row>
    <row r="712" spans="1:6" x14ac:dyDescent="0.3">
      <c r="A712">
        <v>2023</v>
      </c>
      <c r="B712">
        <v>9</v>
      </c>
      <c r="C712" t="s">
        <v>37</v>
      </c>
      <c r="D712" t="s">
        <v>48</v>
      </c>
      <c r="E712" t="s">
        <v>56</v>
      </c>
      <c r="F712">
        <v>111015.91</v>
      </c>
    </row>
    <row r="713" spans="1:6" x14ac:dyDescent="0.3">
      <c r="A713">
        <v>2023</v>
      </c>
      <c r="B713">
        <v>9</v>
      </c>
      <c r="C713" t="s">
        <v>40</v>
      </c>
      <c r="D713" t="s">
        <v>48</v>
      </c>
      <c r="E713" t="s">
        <v>56</v>
      </c>
      <c r="F713">
        <v>29505.33</v>
      </c>
    </row>
    <row r="714" spans="1:6" x14ac:dyDescent="0.3">
      <c r="A714">
        <v>2023</v>
      </c>
      <c r="B714">
        <v>9</v>
      </c>
      <c r="C714" t="s">
        <v>41</v>
      </c>
      <c r="D714" t="s">
        <v>48</v>
      </c>
      <c r="E714" t="s">
        <v>56</v>
      </c>
      <c r="F714">
        <v>113441.09</v>
      </c>
    </row>
    <row r="715" spans="1:6" x14ac:dyDescent="0.3">
      <c r="A715">
        <v>2023</v>
      </c>
      <c r="B715">
        <v>9</v>
      </c>
      <c r="C715" t="s">
        <v>42</v>
      </c>
      <c r="D715" t="s">
        <v>48</v>
      </c>
      <c r="E715" t="s">
        <v>56</v>
      </c>
      <c r="F715">
        <v>41145.43</v>
      </c>
    </row>
    <row r="716" spans="1:6" x14ac:dyDescent="0.3">
      <c r="A716">
        <v>2023</v>
      </c>
      <c r="B716">
        <v>9</v>
      </c>
      <c r="C716" t="s">
        <v>43</v>
      </c>
      <c r="D716" t="s">
        <v>48</v>
      </c>
      <c r="E716" t="s">
        <v>56</v>
      </c>
      <c r="F716">
        <v>59524.71</v>
      </c>
    </row>
    <row r="717" spans="1:6" x14ac:dyDescent="0.3">
      <c r="A717">
        <v>2023</v>
      </c>
      <c r="B717">
        <v>9</v>
      </c>
      <c r="C717" t="s">
        <v>44</v>
      </c>
      <c r="D717" t="s">
        <v>48</v>
      </c>
      <c r="E717" t="s">
        <v>56</v>
      </c>
      <c r="F717">
        <v>76733.81</v>
      </c>
    </row>
    <row r="718" spans="1:6" x14ac:dyDescent="0.3">
      <c r="A718">
        <v>2023</v>
      </c>
      <c r="B718">
        <v>9</v>
      </c>
      <c r="C718" t="s">
        <v>45</v>
      </c>
      <c r="D718" t="s">
        <v>48</v>
      </c>
      <c r="E718" t="s">
        <v>56</v>
      </c>
      <c r="F718">
        <v>35940.480000000003</v>
      </c>
    </row>
    <row r="719" spans="1:6" x14ac:dyDescent="0.3">
      <c r="A719">
        <v>2023</v>
      </c>
      <c r="B719">
        <v>9</v>
      </c>
      <c r="C719" t="s">
        <v>37</v>
      </c>
      <c r="D719" t="s">
        <v>57</v>
      </c>
      <c r="E719" t="s">
        <v>58</v>
      </c>
      <c r="F719">
        <v>35320.85</v>
      </c>
    </row>
    <row r="720" spans="1:6" x14ac:dyDescent="0.3">
      <c r="A720">
        <v>2023</v>
      </c>
      <c r="B720">
        <v>9</v>
      </c>
      <c r="C720" t="s">
        <v>37</v>
      </c>
      <c r="D720" t="s">
        <v>57</v>
      </c>
      <c r="E720" t="s">
        <v>59</v>
      </c>
      <c r="F720">
        <v>53971.77</v>
      </c>
    </row>
    <row r="721" spans="1:6" x14ac:dyDescent="0.3">
      <c r="A721">
        <v>2023</v>
      </c>
      <c r="B721">
        <v>9</v>
      </c>
      <c r="C721" t="s">
        <v>37</v>
      </c>
      <c r="D721" t="s">
        <v>57</v>
      </c>
      <c r="E721" t="s">
        <v>60</v>
      </c>
      <c r="F721">
        <v>64367.13</v>
      </c>
    </row>
    <row r="722" spans="1:6" x14ac:dyDescent="0.3">
      <c r="A722">
        <v>2023</v>
      </c>
      <c r="B722">
        <v>10</v>
      </c>
      <c r="C722" t="s">
        <v>37</v>
      </c>
      <c r="D722" t="s">
        <v>38</v>
      </c>
      <c r="E722" t="s">
        <v>39</v>
      </c>
      <c r="F722">
        <v>18984.04</v>
      </c>
    </row>
    <row r="723" spans="1:6" x14ac:dyDescent="0.3">
      <c r="A723">
        <v>2023</v>
      </c>
      <c r="B723">
        <v>10</v>
      </c>
      <c r="C723" t="s">
        <v>40</v>
      </c>
      <c r="D723" t="s">
        <v>38</v>
      </c>
      <c r="E723" t="s">
        <v>39</v>
      </c>
      <c r="F723">
        <v>68878.929999999993</v>
      </c>
    </row>
    <row r="724" spans="1:6" x14ac:dyDescent="0.3">
      <c r="A724">
        <v>2023</v>
      </c>
      <c r="B724">
        <v>10</v>
      </c>
      <c r="C724" t="s">
        <v>41</v>
      </c>
      <c r="D724" t="s">
        <v>38</v>
      </c>
      <c r="E724" t="s">
        <v>39</v>
      </c>
      <c r="F724">
        <v>18034.68</v>
      </c>
    </row>
    <row r="725" spans="1:6" x14ac:dyDescent="0.3">
      <c r="A725">
        <v>2023</v>
      </c>
      <c r="B725">
        <v>10</v>
      </c>
      <c r="C725" t="s">
        <v>42</v>
      </c>
      <c r="D725" t="s">
        <v>38</v>
      </c>
      <c r="E725" t="s">
        <v>39</v>
      </c>
      <c r="F725">
        <v>89630.99</v>
      </c>
    </row>
    <row r="726" spans="1:6" x14ac:dyDescent="0.3">
      <c r="A726">
        <v>2023</v>
      </c>
      <c r="B726">
        <v>10</v>
      </c>
      <c r="C726" t="s">
        <v>43</v>
      </c>
      <c r="D726" t="s">
        <v>38</v>
      </c>
      <c r="E726" t="s">
        <v>39</v>
      </c>
      <c r="F726">
        <v>14370.48</v>
      </c>
    </row>
    <row r="727" spans="1:6" x14ac:dyDescent="0.3">
      <c r="A727">
        <v>2023</v>
      </c>
      <c r="B727">
        <v>10</v>
      </c>
      <c r="C727" t="s">
        <v>44</v>
      </c>
      <c r="D727" t="s">
        <v>38</v>
      </c>
      <c r="E727" t="s">
        <v>39</v>
      </c>
      <c r="F727">
        <v>118174.61</v>
      </c>
    </row>
    <row r="728" spans="1:6" x14ac:dyDescent="0.3">
      <c r="A728">
        <v>2023</v>
      </c>
      <c r="B728">
        <v>10</v>
      </c>
      <c r="C728" t="s">
        <v>45</v>
      </c>
      <c r="D728" t="s">
        <v>38</v>
      </c>
      <c r="E728" t="s">
        <v>39</v>
      </c>
      <c r="F728">
        <v>110314.8</v>
      </c>
    </row>
    <row r="729" spans="1:6" x14ac:dyDescent="0.3">
      <c r="A729">
        <v>2023</v>
      </c>
      <c r="B729">
        <v>10</v>
      </c>
      <c r="C729" t="s">
        <v>37</v>
      </c>
      <c r="D729" t="s">
        <v>38</v>
      </c>
      <c r="E729" t="s">
        <v>46</v>
      </c>
      <c r="F729">
        <v>95839.42</v>
      </c>
    </row>
    <row r="730" spans="1:6" x14ac:dyDescent="0.3">
      <c r="A730">
        <v>2023</v>
      </c>
      <c r="B730">
        <v>10</v>
      </c>
      <c r="C730" t="s">
        <v>40</v>
      </c>
      <c r="D730" t="s">
        <v>38</v>
      </c>
      <c r="E730" t="s">
        <v>46</v>
      </c>
      <c r="F730">
        <v>110092.16</v>
      </c>
    </row>
    <row r="731" spans="1:6" x14ac:dyDescent="0.3">
      <c r="A731">
        <v>2023</v>
      </c>
      <c r="B731">
        <v>10</v>
      </c>
      <c r="C731" t="s">
        <v>41</v>
      </c>
      <c r="D731" t="s">
        <v>38</v>
      </c>
      <c r="E731" t="s">
        <v>46</v>
      </c>
      <c r="F731">
        <v>99581.31</v>
      </c>
    </row>
    <row r="732" spans="1:6" x14ac:dyDescent="0.3">
      <c r="A732">
        <v>2023</v>
      </c>
      <c r="B732">
        <v>10</v>
      </c>
      <c r="C732" t="s">
        <v>42</v>
      </c>
      <c r="D732" t="s">
        <v>38</v>
      </c>
      <c r="E732" t="s">
        <v>46</v>
      </c>
      <c r="F732">
        <v>88464.04</v>
      </c>
    </row>
    <row r="733" spans="1:6" x14ac:dyDescent="0.3">
      <c r="A733">
        <v>2023</v>
      </c>
      <c r="B733">
        <v>10</v>
      </c>
      <c r="C733" t="s">
        <v>43</v>
      </c>
      <c r="D733" t="s">
        <v>38</v>
      </c>
      <c r="E733" t="s">
        <v>46</v>
      </c>
      <c r="F733">
        <v>106404.41</v>
      </c>
    </row>
    <row r="734" spans="1:6" x14ac:dyDescent="0.3">
      <c r="A734">
        <v>2023</v>
      </c>
      <c r="B734">
        <v>10</v>
      </c>
      <c r="C734" t="s">
        <v>44</v>
      </c>
      <c r="D734" t="s">
        <v>38</v>
      </c>
      <c r="E734" t="s">
        <v>46</v>
      </c>
      <c r="F734">
        <v>10362.620000000001</v>
      </c>
    </row>
    <row r="735" spans="1:6" x14ac:dyDescent="0.3">
      <c r="A735">
        <v>2023</v>
      </c>
      <c r="B735">
        <v>10</v>
      </c>
      <c r="C735" t="s">
        <v>45</v>
      </c>
      <c r="D735" t="s">
        <v>38</v>
      </c>
      <c r="E735" t="s">
        <v>46</v>
      </c>
      <c r="F735">
        <v>77197.62</v>
      </c>
    </row>
    <row r="736" spans="1:6" x14ac:dyDescent="0.3">
      <c r="A736">
        <v>2023</v>
      </c>
      <c r="B736">
        <v>10</v>
      </c>
      <c r="C736" t="s">
        <v>37</v>
      </c>
      <c r="D736" t="s">
        <v>38</v>
      </c>
      <c r="E736" t="s">
        <v>47</v>
      </c>
      <c r="F736">
        <v>113693.65</v>
      </c>
    </row>
    <row r="737" spans="1:6" x14ac:dyDescent="0.3">
      <c r="A737">
        <v>2023</v>
      </c>
      <c r="B737">
        <v>10</v>
      </c>
      <c r="C737" t="s">
        <v>40</v>
      </c>
      <c r="D737" t="s">
        <v>38</v>
      </c>
      <c r="E737" t="s">
        <v>47</v>
      </c>
      <c r="F737">
        <v>82722.64</v>
      </c>
    </row>
    <row r="738" spans="1:6" x14ac:dyDescent="0.3">
      <c r="A738">
        <v>2023</v>
      </c>
      <c r="B738">
        <v>10</v>
      </c>
      <c r="C738" t="s">
        <v>41</v>
      </c>
      <c r="D738" t="s">
        <v>38</v>
      </c>
      <c r="E738" t="s">
        <v>47</v>
      </c>
      <c r="F738">
        <v>107071.67</v>
      </c>
    </row>
    <row r="739" spans="1:6" x14ac:dyDescent="0.3">
      <c r="A739">
        <v>2023</v>
      </c>
      <c r="B739">
        <v>10</v>
      </c>
      <c r="C739" t="s">
        <v>42</v>
      </c>
      <c r="D739" t="s">
        <v>38</v>
      </c>
      <c r="E739" t="s">
        <v>47</v>
      </c>
      <c r="F739">
        <v>119789.81</v>
      </c>
    </row>
    <row r="740" spans="1:6" x14ac:dyDescent="0.3">
      <c r="A740">
        <v>2023</v>
      </c>
      <c r="B740">
        <v>10</v>
      </c>
      <c r="C740" t="s">
        <v>43</v>
      </c>
      <c r="D740" t="s">
        <v>38</v>
      </c>
      <c r="E740" t="s">
        <v>47</v>
      </c>
      <c r="F740">
        <v>107310.31</v>
      </c>
    </row>
    <row r="741" spans="1:6" x14ac:dyDescent="0.3">
      <c r="A741">
        <v>2023</v>
      </c>
      <c r="B741">
        <v>10</v>
      </c>
      <c r="C741" t="s">
        <v>44</v>
      </c>
      <c r="D741" t="s">
        <v>38</v>
      </c>
      <c r="E741" t="s">
        <v>47</v>
      </c>
      <c r="F741">
        <v>48079.9</v>
      </c>
    </row>
    <row r="742" spans="1:6" x14ac:dyDescent="0.3">
      <c r="A742">
        <v>2023</v>
      </c>
      <c r="B742">
        <v>10</v>
      </c>
      <c r="C742" t="s">
        <v>45</v>
      </c>
      <c r="D742" t="s">
        <v>38</v>
      </c>
      <c r="E742" t="s">
        <v>47</v>
      </c>
      <c r="F742">
        <v>112780.03</v>
      </c>
    </row>
    <row r="743" spans="1:6" x14ac:dyDescent="0.3">
      <c r="A743">
        <v>2023</v>
      </c>
      <c r="B743">
        <v>10</v>
      </c>
      <c r="C743" t="s">
        <v>37</v>
      </c>
      <c r="D743" t="s">
        <v>48</v>
      </c>
      <c r="E743" t="s">
        <v>49</v>
      </c>
      <c r="F743">
        <v>81699.41</v>
      </c>
    </row>
    <row r="744" spans="1:6" x14ac:dyDescent="0.3">
      <c r="A744">
        <v>2023</v>
      </c>
      <c r="B744">
        <v>10</v>
      </c>
      <c r="C744" t="s">
        <v>40</v>
      </c>
      <c r="D744" t="s">
        <v>48</v>
      </c>
      <c r="E744" t="s">
        <v>49</v>
      </c>
      <c r="F744">
        <v>101581.61</v>
      </c>
    </row>
    <row r="745" spans="1:6" x14ac:dyDescent="0.3">
      <c r="A745">
        <v>2023</v>
      </c>
      <c r="B745">
        <v>10</v>
      </c>
      <c r="C745" t="s">
        <v>41</v>
      </c>
      <c r="D745" t="s">
        <v>48</v>
      </c>
      <c r="E745" t="s">
        <v>49</v>
      </c>
      <c r="F745">
        <v>32810.449999999997</v>
      </c>
    </row>
    <row r="746" spans="1:6" x14ac:dyDescent="0.3">
      <c r="A746">
        <v>2023</v>
      </c>
      <c r="B746">
        <v>10</v>
      </c>
      <c r="C746" t="s">
        <v>42</v>
      </c>
      <c r="D746" t="s">
        <v>48</v>
      </c>
      <c r="E746" t="s">
        <v>49</v>
      </c>
      <c r="F746">
        <v>56912.73</v>
      </c>
    </row>
    <row r="747" spans="1:6" x14ac:dyDescent="0.3">
      <c r="A747">
        <v>2023</v>
      </c>
      <c r="B747">
        <v>10</v>
      </c>
      <c r="C747" t="s">
        <v>43</v>
      </c>
      <c r="D747" t="s">
        <v>48</v>
      </c>
      <c r="E747" t="s">
        <v>49</v>
      </c>
      <c r="F747">
        <v>87781.98</v>
      </c>
    </row>
    <row r="748" spans="1:6" x14ac:dyDescent="0.3">
      <c r="A748">
        <v>2023</v>
      </c>
      <c r="B748">
        <v>10</v>
      </c>
      <c r="C748" t="s">
        <v>44</v>
      </c>
      <c r="D748" t="s">
        <v>48</v>
      </c>
      <c r="E748" t="s">
        <v>49</v>
      </c>
      <c r="F748">
        <v>94556.66</v>
      </c>
    </row>
    <row r="749" spans="1:6" x14ac:dyDescent="0.3">
      <c r="A749">
        <v>2023</v>
      </c>
      <c r="B749">
        <v>10</v>
      </c>
      <c r="C749" t="s">
        <v>45</v>
      </c>
      <c r="D749" t="s">
        <v>48</v>
      </c>
      <c r="E749" t="s">
        <v>49</v>
      </c>
      <c r="F749">
        <v>74001.850000000006</v>
      </c>
    </row>
    <row r="750" spans="1:6" x14ac:dyDescent="0.3">
      <c r="A750">
        <v>2023</v>
      </c>
      <c r="B750">
        <v>10</v>
      </c>
      <c r="C750" t="s">
        <v>37</v>
      </c>
      <c r="D750" t="s">
        <v>48</v>
      </c>
      <c r="E750" t="s">
        <v>50</v>
      </c>
      <c r="F750">
        <v>101853.62</v>
      </c>
    </row>
    <row r="751" spans="1:6" x14ac:dyDescent="0.3">
      <c r="A751">
        <v>2023</v>
      </c>
      <c r="B751">
        <v>10</v>
      </c>
      <c r="C751" t="s">
        <v>40</v>
      </c>
      <c r="D751" t="s">
        <v>48</v>
      </c>
      <c r="E751" t="s">
        <v>50</v>
      </c>
      <c r="F751">
        <v>15698.99</v>
      </c>
    </row>
    <row r="752" spans="1:6" x14ac:dyDescent="0.3">
      <c r="A752">
        <v>2023</v>
      </c>
      <c r="B752">
        <v>10</v>
      </c>
      <c r="C752" t="s">
        <v>41</v>
      </c>
      <c r="D752" t="s">
        <v>48</v>
      </c>
      <c r="E752" t="s">
        <v>50</v>
      </c>
      <c r="F752">
        <v>110894.84</v>
      </c>
    </row>
    <row r="753" spans="1:6" x14ac:dyDescent="0.3">
      <c r="A753">
        <v>2023</v>
      </c>
      <c r="B753">
        <v>10</v>
      </c>
      <c r="C753" t="s">
        <v>42</v>
      </c>
      <c r="D753" t="s">
        <v>48</v>
      </c>
      <c r="E753" t="s">
        <v>50</v>
      </c>
      <c r="F753">
        <v>71110.62</v>
      </c>
    </row>
    <row r="754" spans="1:6" x14ac:dyDescent="0.3">
      <c r="A754">
        <v>2023</v>
      </c>
      <c r="B754">
        <v>10</v>
      </c>
      <c r="C754" t="s">
        <v>43</v>
      </c>
      <c r="D754" t="s">
        <v>48</v>
      </c>
      <c r="E754" t="s">
        <v>50</v>
      </c>
      <c r="F754">
        <v>35408.35</v>
      </c>
    </row>
    <row r="755" spans="1:6" x14ac:dyDescent="0.3">
      <c r="A755">
        <v>2023</v>
      </c>
      <c r="B755">
        <v>10</v>
      </c>
      <c r="C755" t="s">
        <v>44</v>
      </c>
      <c r="D755" t="s">
        <v>48</v>
      </c>
      <c r="E755" t="s">
        <v>50</v>
      </c>
      <c r="F755">
        <v>111070.96</v>
      </c>
    </row>
    <row r="756" spans="1:6" x14ac:dyDescent="0.3">
      <c r="A756">
        <v>2023</v>
      </c>
      <c r="B756">
        <v>10</v>
      </c>
      <c r="C756" t="s">
        <v>45</v>
      </c>
      <c r="D756" t="s">
        <v>48</v>
      </c>
      <c r="E756" t="s">
        <v>50</v>
      </c>
      <c r="F756">
        <v>40569.440000000002</v>
      </c>
    </row>
    <row r="757" spans="1:6" x14ac:dyDescent="0.3">
      <c r="A757">
        <v>2023</v>
      </c>
      <c r="B757">
        <v>10</v>
      </c>
      <c r="C757" t="s">
        <v>37</v>
      </c>
      <c r="D757" t="s">
        <v>48</v>
      </c>
      <c r="E757" t="s">
        <v>51</v>
      </c>
      <c r="F757">
        <v>56630.31</v>
      </c>
    </row>
    <row r="758" spans="1:6" x14ac:dyDescent="0.3">
      <c r="A758">
        <v>2023</v>
      </c>
      <c r="B758">
        <v>10</v>
      </c>
      <c r="C758" t="s">
        <v>40</v>
      </c>
      <c r="D758" t="s">
        <v>48</v>
      </c>
      <c r="E758" t="s">
        <v>51</v>
      </c>
      <c r="F758">
        <v>63547.43</v>
      </c>
    </row>
    <row r="759" spans="1:6" x14ac:dyDescent="0.3">
      <c r="A759">
        <v>2023</v>
      </c>
      <c r="B759">
        <v>10</v>
      </c>
      <c r="C759" t="s">
        <v>41</v>
      </c>
      <c r="D759" t="s">
        <v>48</v>
      </c>
      <c r="E759" t="s">
        <v>51</v>
      </c>
      <c r="F759">
        <v>47913.18</v>
      </c>
    </row>
    <row r="760" spans="1:6" x14ac:dyDescent="0.3">
      <c r="A760">
        <v>2023</v>
      </c>
      <c r="B760">
        <v>10</v>
      </c>
      <c r="C760" t="s">
        <v>42</v>
      </c>
      <c r="D760" t="s">
        <v>48</v>
      </c>
      <c r="E760" t="s">
        <v>51</v>
      </c>
      <c r="F760">
        <v>66241.820000000007</v>
      </c>
    </row>
    <row r="761" spans="1:6" x14ac:dyDescent="0.3">
      <c r="A761">
        <v>2023</v>
      </c>
      <c r="B761">
        <v>10</v>
      </c>
      <c r="C761" t="s">
        <v>43</v>
      </c>
      <c r="D761" t="s">
        <v>48</v>
      </c>
      <c r="E761" t="s">
        <v>51</v>
      </c>
      <c r="F761">
        <v>17785.419999999998</v>
      </c>
    </row>
    <row r="762" spans="1:6" x14ac:dyDescent="0.3">
      <c r="A762">
        <v>2023</v>
      </c>
      <c r="B762">
        <v>10</v>
      </c>
      <c r="C762" t="s">
        <v>44</v>
      </c>
      <c r="D762" t="s">
        <v>48</v>
      </c>
      <c r="E762" t="s">
        <v>51</v>
      </c>
      <c r="F762">
        <v>77036.38</v>
      </c>
    </row>
    <row r="763" spans="1:6" x14ac:dyDescent="0.3">
      <c r="A763">
        <v>2023</v>
      </c>
      <c r="B763">
        <v>10</v>
      </c>
      <c r="C763" t="s">
        <v>45</v>
      </c>
      <c r="D763" t="s">
        <v>48</v>
      </c>
      <c r="E763" t="s">
        <v>51</v>
      </c>
      <c r="F763">
        <v>47031.16</v>
      </c>
    </row>
    <row r="764" spans="1:6" x14ac:dyDescent="0.3">
      <c r="A764">
        <v>2023</v>
      </c>
      <c r="B764">
        <v>10</v>
      </c>
      <c r="C764" t="s">
        <v>37</v>
      </c>
      <c r="D764" t="s">
        <v>48</v>
      </c>
      <c r="E764" t="s">
        <v>52</v>
      </c>
      <c r="F764">
        <v>13260.16</v>
      </c>
    </row>
    <row r="765" spans="1:6" x14ac:dyDescent="0.3">
      <c r="A765">
        <v>2023</v>
      </c>
      <c r="B765">
        <v>10</v>
      </c>
      <c r="C765" t="s">
        <v>40</v>
      </c>
      <c r="D765" t="s">
        <v>48</v>
      </c>
      <c r="E765" t="s">
        <v>52</v>
      </c>
      <c r="F765">
        <v>29632.6</v>
      </c>
    </row>
    <row r="766" spans="1:6" x14ac:dyDescent="0.3">
      <c r="A766">
        <v>2023</v>
      </c>
      <c r="B766">
        <v>10</v>
      </c>
      <c r="C766" t="s">
        <v>41</v>
      </c>
      <c r="D766" t="s">
        <v>48</v>
      </c>
      <c r="E766" t="s">
        <v>52</v>
      </c>
      <c r="F766">
        <v>58055.48</v>
      </c>
    </row>
    <row r="767" spans="1:6" x14ac:dyDescent="0.3">
      <c r="A767">
        <v>2023</v>
      </c>
      <c r="B767">
        <v>10</v>
      </c>
      <c r="C767" t="s">
        <v>42</v>
      </c>
      <c r="D767" t="s">
        <v>48</v>
      </c>
      <c r="E767" t="s">
        <v>52</v>
      </c>
      <c r="F767">
        <v>83767.95</v>
      </c>
    </row>
    <row r="768" spans="1:6" x14ac:dyDescent="0.3">
      <c r="A768">
        <v>2023</v>
      </c>
      <c r="B768">
        <v>10</v>
      </c>
      <c r="C768" t="s">
        <v>43</v>
      </c>
      <c r="D768" t="s">
        <v>48</v>
      </c>
      <c r="E768" t="s">
        <v>52</v>
      </c>
      <c r="F768">
        <v>30579.5</v>
      </c>
    </row>
    <row r="769" spans="1:6" x14ac:dyDescent="0.3">
      <c r="A769">
        <v>2023</v>
      </c>
      <c r="B769">
        <v>10</v>
      </c>
      <c r="C769" t="s">
        <v>44</v>
      </c>
      <c r="D769" t="s">
        <v>48</v>
      </c>
      <c r="E769" t="s">
        <v>52</v>
      </c>
      <c r="F769">
        <v>60167.55</v>
      </c>
    </row>
    <row r="770" spans="1:6" x14ac:dyDescent="0.3">
      <c r="A770">
        <v>2023</v>
      </c>
      <c r="B770">
        <v>10</v>
      </c>
      <c r="C770" t="s">
        <v>45</v>
      </c>
      <c r="D770" t="s">
        <v>48</v>
      </c>
      <c r="E770" t="s">
        <v>52</v>
      </c>
      <c r="F770">
        <v>13802.59</v>
      </c>
    </row>
    <row r="771" spans="1:6" x14ac:dyDescent="0.3">
      <c r="A771">
        <v>2023</v>
      </c>
      <c r="B771">
        <v>10</v>
      </c>
      <c r="C771" t="s">
        <v>37</v>
      </c>
      <c r="D771" t="s">
        <v>48</v>
      </c>
      <c r="E771" t="s">
        <v>53</v>
      </c>
      <c r="F771">
        <v>25338.13</v>
      </c>
    </row>
    <row r="772" spans="1:6" x14ac:dyDescent="0.3">
      <c r="A772">
        <v>2023</v>
      </c>
      <c r="B772">
        <v>10</v>
      </c>
      <c r="C772" t="s">
        <v>40</v>
      </c>
      <c r="D772" t="s">
        <v>48</v>
      </c>
      <c r="E772" t="s">
        <v>53</v>
      </c>
      <c r="F772">
        <v>53465.29</v>
      </c>
    </row>
    <row r="773" spans="1:6" x14ac:dyDescent="0.3">
      <c r="A773">
        <v>2023</v>
      </c>
      <c r="B773">
        <v>10</v>
      </c>
      <c r="C773" t="s">
        <v>41</v>
      </c>
      <c r="D773" t="s">
        <v>48</v>
      </c>
      <c r="E773" t="s">
        <v>53</v>
      </c>
      <c r="F773">
        <v>88615.32</v>
      </c>
    </row>
    <row r="774" spans="1:6" x14ac:dyDescent="0.3">
      <c r="A774">
        <v>2023</v>
      </c>
      <c r="B774">
        <v>10</v>
      </c>
      <c r="C774" t="s">
        <v>42</v>
      </c>
      <c r="D774" t="s">
        <v>48</v>
      </c>
      <c r="E774" t="s">
        <v>53</v>
      </c>
      <c r="F774">
        <v>45096.89</v>
      </c>
    </row>
    <row r="775" spans="1:6" x14ac:dyDescent="0.3">
      <c r="A775">
        <v>2023</v>
      </c>
      <c r="B775">
        <v>10</v>
      </c>
      <c r="C775" t="s">
        <v>43</v>
      </c>
      <c r="D775" t="s">
        <v>48</v>
      </c>
      <c r="E775" t="s">
        <v>53</v>
      </c>
      <c r="F775">
        <v>110549.45</v>
      </c>
    </row>
    <row r="776" spans="1:6" x14ac:dyDescent="0.3">
      <c r="A776">
        <v>2023</v>
      </c>
      <c r="B776">
        <v>10</v>
      </c>
      <c r="C776" t="s">
        <v>44</v>
      </c>
      <c r="D776" t="s">
        <v>48</v>
      </c>
      <c r="E776" t="s">
        <v>53</v>
      </c>
      <c r="F776">
        <v>10674.3</v>
      </c>
    </row>
    <row r="777" spans="1:6" x14ac:dyDescent="0.3">
      <c r="A777">
        <v>2023</v>
      </c>
      <c r="B777">
        <v>10</v>
      </c>
      <c r="C777" t="s">
        <v>45</v>
      </c>
      <c r="D777" t="s">
        <v>48</v>
      </c>
      <c r="E777" t="s">
        <v>53</v>
      </c>
      <c r="F777">
        <v>70768.95</v>
      </c>
    </row>
    <row r="778" spans="1:6" x14ac:dyDescent="0.3">
      <c r="A778">
        <v>2023</v>
      </c>
      <c r="B778">
        <v>10</v>
      </c>
      <c r="C778" t="s">
        <v>37</v>
      </c>
      <c r="D778" t="s">
        <v>48</v>
      </c>
      <c r="E778" t="s">
        <v>54</v>
      </c>
      <c r="F778">
        <v>37845.18</v>
      </c>
    </row>
    <row r="779" spans="1:6" x14ac:dyDescent="0.3">
      <c r="A779">
        <v>2023</v>
      </c>
      <c r="B779">
        <v>10</v>
      </c>
      <c r="C779" t="s">
        <v>40</v>
      </c>
      <c r="D779" t="s">
        <v>48</v>
      </c>
      <c r="E779" t="s">
        <v>54</v>
      </c>
      <c r="F779">
        <v>106416.41</v>
      </c>
    </row>
    <row r="780" spans="1:6" x14ac:dyDescent="0.3">
      <c r="A780">
        <v>2023</v>
      </c>
      <c r="B780">
        <v>10</v>
      </c>
      <c r="C780" t="s">
        <v>41</v>
      </c>
      <c r="D780" t="s">
        <v>48</v>
      </c>
      <c r="E780" t="s">
        <v>54</v>
      </c>
      <c r="F780">
        <v>60814.720000000001</v>
      </c>
    </row>
    <row r="781" spans="1:6" x14ac:dyDescent="0.3">
      <c r="A781">
        <v>2023</v>
      </c>
      <c r="B781">
        <v>10</v>
      </c>
      <c r="C781" t="s">
        <v>42</v>
      </c>
      <c r="D781" t="s">
        <v>48</v>
      </c>
      <c r="E781" t="s">
        <v>54</v>
      </c>
      <c r="F781">
        <v>70646.509999999995</v>
      </c>
    </row>
    <row r="782" spans="1:6" x14ac:dyDescent="0.3">
      <c r="A782">
        <v>2023</v>
      </c>
      <c r="B782">
        <v>10</v>
      </c>
      <c r="C782" t="s">
        <v>43</v>
      </c>
      <c r="D782" t="s">
        <v>48</v>
      </c>
      <c r="E782" t="s">
        <v>54</v>
      </c>
      <c r="F782">
        <v>76229.36</v>
      </c>
    </row>
    <row r="783" spans="1:6" x14ac:dyDescent="0.3">
      <c r="A783">
        <v>2023</v>
      </c>
      <c r="B783">
        <v>10</v>
      </c>
      <c r="C783" t="s">
        <v>44</v>
      </c>
      <c r="D783" t="s">
        <v>48</v>
      </c>
      <c r="E783" t="s">
        <v>54</v>
      </c>
      <c r="F783">
        <v>72297.66</v>
      </c>
    </row>
    <row r="784" spans="1:6" x14ac:dyDescent="0.3">
      <c r="A784">
        <v>2023</v>
      </c>
      <c r="B784">
        <v>10</v>
      </c>
      <c r="C784" t="s">
        <v>45</v>
      </c>
      <c r="D784" t="s">
        <v>48</v>
      </c>
      <c r="E784" t="s">
        <v>54</v>
      </c>
      <c r="F784">
        <v>109024.72</v>
      </c>
    </row>
    <row r="785" spans="1:6" x14ac:dyDescent="0.3">
      <c r="A785">
        <v>2023</v>
      </c>
      <c r="B785">
        <v>10</v>
      </c>
      <c r="C785" t="s">
        <v>37</v>
      </c>
      <c r="D785" t="s">
        <v>48</v>
      </c>
      <c r="E785" t="s">
        <v>55</v>
      </c>
      <c r="F785">
        <v>99489.68</v>
      </c>
    </row>
    <row r="786" spans="1:6" x14ac:dyDescent="0.3">
      <c r="A786">
        <v>2023</v>
      </c>
      <c r="B786">
        <v>10</v>
      </c>
      <c r="C786" t="s">
        <v>40</v>
      </c>
      <c r="D786" t="s">
        <v>48</v>
      </c>
      <c r="E786" t="s">
        <v>55</v>
      </c>
      <c r="F786">
        <v>14368.89</v>
      </c>
    </row>
    <row r="787" spans="1:6" x14ac:dyDescent="0.3">
      <c r="A787">
        <v>2023</v>
      </c>
      <c r="B787">
        <v>10</v>
      </c>
      <c r="C787" t="s">
        <v>41</v>
      </c>
      <c r="D787" t="s">
        <v>48</v>
      </c>
      <c r="E787" t="s">
        <v>55</v>
      </c>
      <c r="F787">
        <v>48099.07</v>
      </c>
    </row>
    <row r="788" spans="1:6" x14ac:dyDescent="0.3">
      <c r="A788">
        <v>2023</v>
      </c>
      <c r="B788">
        <v>10</v>
      </c>
      <c r="C788" t="s">
        <v>42</v>
      </c>
      <c r="D788" t="s">
        <v>48</v>
      </c>
      <c r="E788" t="s">
        <v>55</v>
      </c>
      <c r="F788">
        <v>51945.95</v>
      </c>
    </row>
    <row r="789" spans="1:6" x14ac:dyDescent="0.3">
      <c r="A789">
        <v>2023</v>
      </c>
      <c r="B789">
        <v>10</v>
      </c>
      <c r="C789" t="s">
        <v>43</v>
      </c>
      <c r="D789" t="s">
        <v>48</v>
      </c>
      <c r="E789" t="s">
        <v>55</v>
      </c>
      <c r="F789">
        <v>56901.97</v>
      </c>
    </row>
    <row r="790" spans="1:6" x14ac:dyDescent="0.3">
      <c r="A790">
        <v>2023</v>
      </c>
      <c r="B790">
        <v>10</v>
      </c>
      <c r="C790" t="s">
        <v>44</v>
      </c>
      <c r="D790" t="s">
        <v>48</v>
      </c>
      <c r="E790" t="s">
        <v>55</v>
      </c>
      <c r="F790">
        <v>53944.86</v>
      </c>
    </row>
    <row r="791" spans="1:6" x14ac:dyDescent="0.3">
      <c r="A791">
        <v>2023</v>
      </c>
      <c r="B791">
        <v>10</v>
      </c>
      <c r="C791" t="s">
        <v>45</v>
      </c>
      <c r="D791" t="s">
        <v>48</v>
      </c>
      <c r="E791" t="s">
        <v>55</v>
      </c>
      <c r="F791">
        <v>103071.84</v>
      </c>
    </row>
    <row r="792" spans="1:6" x14ac:dyDescent="0.3">
      <c r="A792">
        <v>2023</v>
      </c>
      <c r="B792">
        <v>10</v>
      </c>
      <c r="C792" t="s">
        <v>37</v>
      </c>
      <c r="D792" t="s">
        <v>48</v>
      </c>
      <c r="E792" t="s">
        <v>56</v>
      </c>
      <c r="F792">
        <v>78098.740000000005</v>
      </c>
    </row>
    <row r="793" spans="1:6" x14ac:dyDescent="0.3">
      <c r="A793">
        <v>2023</v>
      </c>
      <c r="B793">
        <v>10</v>
      </c>
      <c r="C793" t="s">
        <v>40</v>
      </c>
      <c r="D793" t="s">
        <v>48</v>
      </c>
      <c r="E793" t="s">
        <v>56</v>
      </c>
      <c r="F793">
        <v>85696.41</v>
      </c>
    </row>
    <row r="794" spans="1:6" x14ac:dyDescent="0.3">
      <c r="A794">
        <v>2023</v>
      </c>
      <c r="B794">
        <v>10</v>
      </c>
      <c r="C794" t="s">
        <v>41</v>
      </c>
      <c r="D794" t="s">
        <v>48</v>
      </c>
      <c r="E794" t="s">
        <v>56</v>
      </c>
      <c r="F794">
        <v>118766.63</v>
      </c>
    </row>
    <row r="795" spans="1:6" x14ac:dyDescent="0.3">
      <c r="A795">
        <v>2023</v>
      </c>
      <c r="B795">
        <v>10</v>
      </c>
      <c r="C795" t="s">
        <v>42</v>
      </c>
      <c r="D795" t="s">
        <v>48</v>
      </c>
      <c r="E795" t="s">
        <v>56</v>
      </c>
      <c r="F795">
        <v>101761.92</v>
      </c>
    </row>
    <row r="796" spans="1:6" x14ac:dyDescent="0.3">
      <c r="A796">
        <v>2023</v>
      </c>
      <c r="B796">
        <v>10</v>
      </c>
      <c r="C796" t="s">
        <v>43</v>
      </c>
      <c r="D796" t="s">
        <v>48</v>
      </c>
      <c r="E796" t="s">
        <v>56</v>
      </c>
      <c r="F796">
        <v>31028.61</v>
      </c>
    </row>
    <row r="797" spans="1:6" x14ac:dyDescent="0.3">
      <c r="A797">
        <v>2023</v>
      </c>
      <c r="B797">
        <v>10</v>
      </c>
      <c r="C797" t="s">
        <v>44</v>
      </c>
      <c r="D797" t="s">
        <v>48</v>
      </c>
      <c r="E797" t="s">
        <v>56</v>
      </c>
      <c r="F797">
        <v>87478.43</v>
      </c>
    </row>
    <row r="798" spans="1:6" x14ac:dyDescent="0.3">
      <c r="A798">
        <v>2023</v>
      </c>
      <c r="B798">
        <v>10</v>
      </c>
      <c r="C798" t="s">
        <v>45</v>
      </c>
      <c r="D798" t="s">
        <v>48</v>
      </c>
      <c r="E798" t="s">
        <v>56</v>
      </c>
      <c r="F798">
        <v>17405.3</v>
      </c>
    </row>
    <row r="799" spans="1:6" x14ac:dyDescent="0.3">
      <c r="A799">
        <v>2023</v>
      </c>
      <c r="B799">
        <v>10</v>
      </c>
      <c r="C799" t="s">
        <v>37</v>
      </c>
      <c r="D799" t="s">
        <v>57</v>
      </c>
      <c r="E799" t="s">
        <v>58</v>
      </c>
      <c r="F799">
        <v>13807.6</v>
      </c>
    </row>
    <row r="800" spans="1:6" x14ac:dyDescent="0.3">
      <c r="A800">
        <v>2023</v>
      </c>
      <c r="B800">
        <v>10</v>
      </c>
      <c r="C800" t="s">
        <v>37</v>
      </c>
      <c r="D800" t="s">
        <v>57</v>
      </c>
      <c r="E800" t="s">
        <v>59</v>
      </c>
      <c r="F800">
        <v>129991.31</v>
      </c>
    </row>
    <row r="801" spans="1:6" x14ac:dyDescent="0.3">
      <c r="A801">
        <v>2023</v>
      </c>
      <c r="B801">
        <v>10</v>
      </c>
      <c r="C801" t="s">
        <v>37</v>
      </c>
      <c r="D801" t="s">
        <v>57</v>
      </c>
      <c r="E801" t="s">
        <v>60</v>
      </c>
      <c r="F801">
        <v>135302.63</v>
      </c>
    </row>
    <row r="802" spans="1:6" x14ac:dyDescent="0.3">
      <c r="A802">
        <v>2023</v>
      </c>
      <c r="B802">
        <v>11</v>
      </c>
      <c r="C802" t="s">
        <v>37</v>
      </c>
      <c r="D802" t="s">
        <v>38</v>
      </c>
      <c r="E802" t="s">
        <v>39</v>
      </c>
      <c r="F802">
        <v>83977.68</v>
      </c>
    </row>
    <row r="803" spans="1:6" x14ac:dyDescent="0.3">
      <c r="A803">
        <v>2023</v>
      </c>
      <c r="B803">
        <v>11</v>
      </c>
      <c r="C803" t="s">
        <v>40</v>
      </c>
      <c r="D803" t="s">
        <v>38</v>
      </c>
      <c r="E803" t="s">
        <v>39</v>
      </c>
      <c r="F803">
        <v>14349.22</v>
      </c>
    </row>
    <row r="804" spans="1:6" x14ac:dyDescent="0.3">
      <c r="A804">
        <v>2023</v>
      </c>
      <c r="B804">
        <v>11</v>
      </c>
      <c r="C804" t="s">
        <v>41</v>
      </c>
      <c r="D804" t="s">
        <v>38</v>
      </c>
      <c r="E804" t="s">
        <v>39</v>
      </c>
      <c r="F804">
        <v>100321.34</v>
      </c>
    </row>
    <row r="805" spans="1:6" x14ac:dyDescent="0.3">
      <c r="A805">
        <v>2023</v>
      </c>
      <c r="B805">
        <v>11</v>
      </c>
      <c r="C805" t="s">
        <v>42</v>
      </c>
      <c r="D805" t="s">
        <v>38</v>
      </c>
      <c r="E805" t="s">
        <v>39</v>
      </c>
      <c r="F805">
        <v>95961.66</v>
      </c>
    </row>
    <row r="806" spans="1:6" x14ac:dyDescent="0.3">
      <c r="A806">
        <v>2023</v>
      </c>
      <c r="B806">
        <v>11</v>
      </c>
      <c r="C806" t="s">
        <v>43</v>
      </c>
      <c r="D806" t="s">
        <v>38</v>
      </c>
      <c r="E806" t="s">
        <v>39</v>
      </c>
      <c r="F806">
        <v>66957.539999999994</v>
      </c>
    </row>
    <row r="807" spans="1:6" x14ac:dyDescent="0.3">
      <c r="A807">
        <v>2023</v>
      </c>
      <c r="B807">
        <v>11</v>
      </c>
      <c r="C807" t="s">
        <v>44</v>
      </c>
      <c r="D807" t="s">
        <v>38</v>
      </c>
      <c r="E807" t="s">
        <v>39</v>
      </c>
      <c r="F807">
        <v>24268.02</v>
      </c>
    </row>
    <row r="808" spans="1:6" x14ac:dyDescent="0.3">
      <c r="A808">
        <v>2023</v>
      </c>
      <c r="B808">
        <v>11</v>
      </c>
      <c r="C808" t="s">
        <v>45</v>
      </c>
      <c r="D808" t="s">
        <v>38</v>
      </c>
      <c r="E808" t="s">
        <v>39</v>
      </c>
      <c r="F808">
        <v>115610.63</v>
      </c>
    </row>
    <row r="809" spans="1:6" x14ac:dyDescent="0.3">
      <c r="A809">
        <v>2023</v>
      </c>
      <c r="B809">
        <v>11</v>
      </c>
      <c r="C809" t="s">
        <v>37</v>
      </c>
      <c r="D809" t="s">
        <v>38</v>
      </c>
      <c r="E809" t="s">
        <v>46</v>
      </c>
      <c r="F809">
        <v>98735.56</v>
      </c>
    </row>
    <row r="810" spans="1:6" x14ac:dyDescent="0.3">
      <c r="A810">
        <v>2023</v>
      </c>
      <c r="B810">
        <v>11</v>
      </c>
      <c r="C810" t="s">
        <v>40</v>
      </c>
      <c r="D810" t="s">
        <v>38</v>
      </c>
      <c r="E810" t="s">
        <v>46</v>
      </c>
      <c r="F810">
        <v>107187.17</v>
      </c>
    </row>
    <row r="811" spans="1:6" x14ac:dyDescent="0.3">
      <c r="A811">
        <v>2023</v>
      </c>
      <c r="B811">
        <v>11</v>
      </c>
      <c r="C811" t="s">
        <v>41</v>
      </c>
      <c r="D811" t="s">
        <v>38</v>
      </c>
      <c r="E811" t="s">
        <v>46</v>
      </c>
      <c r="F811">
        <v>27735.46</v>
      </c>
    </row>
    <row r="812" spans="1:6" x14ac:dyDescent="0.3">
      <c r="A812">
        <v>2023</v>
      </c>
      <c r="B812">
        <v>11</v>
      </c>
      <c r="C812" t="s">
        <v>42</v>
      </c>
      <c r="D812" t="s">
        <v>38</v>
      </c>
      <c r="E812" t="s">
        <v>46</v>
      </c>
      <c r="F812">
        <v>38535.74</v>
      </c>
    </row>
    <row r="813" spans="1:6" x14ac:dyDescent="0.3">
      <c r="A813">
        <v>2023</v>
      </c>
      <c r="B813">
        <v>11</v>
      </c>
      <c r="C813" t="s">
        <v>43</v>
      </c>
      <c r="D813" t="s">
        <v>38</v>
      </c>
      <c r="E813" t="s">
        <v>46</v>
      </c>
      <c r="F813">
        <v>16894.93</v>
      </c>
    </row>
    <row r="814" spans="1:6" x14ac:dyDescent="0.3">
      <c r="A814">
        <v>2023</v>
      </c>
      <c r="B814">
        <v>11</v>
      </c>
      <c r="C814" t="s">
        <v>44</v>
      </c>
      <c r="D814" t="s">
        <v>38</v>
      </c>
      <c r="E814" t="s">
        <v>46</v>
      </c>
      <c r="F814">
        <v>49734.559999999998</v>
      </c>
    </row>
    <row r="815" spans="1:6" x14ac:dyDescent="0.3">
      <c r="A815">
        <v>2023</v>
      </c>
      <c r="B815">
        <v>11</v>
      </c>
      <c r="C815" t="s">
        <v>45</v>
      </c>
      <c r="D815" t="s">
        <v>38</v>
      </c>
      <c r="E815" t="s">
        <v>46</v>
      </c>
      <c r="F815">
        <v>104668.77</v>
      </c>
    </row>
    <row r="816" spans="1:6" x14ac:dyDescent="0.3">
      <c r="A816">
        <v>2023</v>
      </c>
      <c r="B816">
        <v>11</v>
      </c>
      <c r="C816" t="s">
        <v>37</v>
      </c>
      <c r="D816" t="s">
        <v>38</v>
      </c>
      <c r="E816" t="s">
        <v>47</v>
      </c>
      <c r="F816">
        <v>64767.26</v>
      </c>
    </row>
    <row r="817" spans="1:6" x14ac:dyDescent="0.3">
      <c r="A817">
        <v>2023</v>
      </c>
      <c r="B817">
        <v>11</v>
      </c>
      <c r="C817" t="s">
        <v>40</v>
      </c>
      <c r="D817" t="s">
        <v>38</v>
      </c>
      <c r="E817" t="s">
        <v>47</v>
      </c>
      <c r="F817">
        <v>61273.4</v>
      </c>
    </row>
    <row r="818" spans="1:6" x14ac:dyDescent="0.3">
      <c r="A818">
        <v>2023</v>
      </c>
      <c r="B818">
        <v>11</v>
      </c>
      <c r="C818" t="s">
        <v>41</v>
      </c>
      <c r="D818" t="s">
        <v>38</v>
      </c>
      <c r="E818" t="s">
        <v>47</v>
      </c>
      <c r="F818">
        <v>45217.31</v>
      </c>
    </row>
    <row r="819" spans="1:6" x14ac:dyDescent="0.3">
      <c r="A819">
        <v>2023</v>
      </c>
      <c r="B819">
        <v>11</v>
      </c>
      <c r="C819" t="s">
        <v>42</v>
      </c>
      <c r="D819" t="s">
        <v>38</v>
      </c>
      <c r="E819" t="s">
        <v>47</v>
      </c>
      <c r="F819">
        <v>57518.32</v>
      </c>
    </row>
    <row r="820" spans="1:6" x14ac:dyDescent="0.3">
      <c r="A820">
        <v>2023</v>
      </c>
      <c r="B820">
        <v>11</v>
      </c>
      <c r="C820" t="s">
        <v>43</v>
      </c>
      <c r="D820" t="s">
        <v>38</v>
      </c>
      <c r="E820" t="s">
        <v>47</v>
      </c>
      <c r="F820">
        <v>19596.830000000002</v>
      </c>
    </row>
    <row r="821" spans="1:6" x14ac:dyDescent="0.3">
      <c r="A821">
        <v>2023</v>
      </c>
      <c r="B821">
        <v>11</v>
      </c>
      <c r="C821" t="s">
        <v>44</v>
      </c>
      <c r="D821" t="s">
        <v>38</v>
      </c>
      <c r="E821" t="s">
        <v>47</v>
      </c>
      <c r="F821">
        <v>89666.05</v>
      </c>
    </row>
    <row r="822" spans="1:6" x14ac:dyDescent="0.3">
      <c r="A822">
        <v>2023</v>
      </c>
      <c r="B822">
        <v>11</v>
      </c>
      <c r="C822" t="s">
        <v>45</v>
      </c>
      <c r="D822" t="s">
        <v>38</v>
      </c>
      <c r="E822" t="s">
        <v>47</v>
      </c>
      <c r="F822">
        <v>24069.35</v>
      </c>
    </row>
    <row r="823" spans="1:6" x14ac:dyDescent="0.3">
      <c r="A823">
        <v>2023</v>
      </c>
      <c r="B823">
        <v>11</v>
      </c>
      <c r="C823" t="s">
        <v>37</v>
      </c>
      <c r="D823" t="s">
        <v>48</v>
      </c>
      <c r="E823" t="s">
        <v>49</v>
      </c>
      <c r="F823">
        <v>102760.59</v>
      </c>
    </row>
    <row r="824" spans="1:6" x14ac:dyDescent="0.3">
      <c r="A824">
        <v>2023</v>
      </c>
      <c r="B824">
        <v>11</v>
      </c>
      <c r="C824" t="s">
        <v>40</v>
      </c>
      <c r="D824" t="s">
        <v>48</v>
      </c>
      <c r="E824" t="s">
        <v>49</v>
      </c>
      <c r="F824">
        <v>91589.59</v>
      </c>
    </row>
    <row r="825" spans="1:6" x14ac:dyDescent="0.3">
      <c r="A825">
        <v>2023</v>
      </c>
      <c r="B825">
        <v>11</v>
      </c>
      <c r="C825" t="s">
        <v>41</v>
      </c>
      <c r="D825" t="s">
        <v>48</v>
      </c>
      <c r="E825" t="s">
        <v>49</v>
      </c>
      <c r="F825">
        <v>117138.8</v>
      </c>
    </row>
    <row r="826" spans="1:6" x14ac:dyDescent="0.3">
      <c r="A826">
        <v>2023</v>
      </c>
      <c r="B826">
        <v>11</v>
      </c>
      <c r="C826" t="s">
        <v>42</v>
      </c>
      <c r="D826" t="s">
        <v>48</v>
      </c>
      <c r="E826" t="s">
        <v>49</v>
      </c>
      <c r="F826">
        <v>87706.41</v>
      </c>
    </row>
    <row r="827" spans="1:6" x14ac:dyDescent="0.3">
      <c r="A827">
        <v>2023</v>
      </c>
      <c r="B827">
        <v>11</v>
      </c>
      <c r="C827" t="s">
        <v>43</v>
      </c>
      <c r="D827" t="s">
        <v>48</v>
      </c>
      <c r="E827" t="s">
        <v>49</v>
      </c>
      <c r="F827">
        <v>83072.070000000007</v>
      </c>
    </row>
    <row r="828" spans="1:6" x14ac:dyDescent="0.3">
      <c r="A828">
        <v>2023</v>
      </c>
      <c r="B828">
        <v>11</v>
      </c>
      <c r="C828" t="s">
        <v>44</v>
      </c>
      <c r="D828" t="s">
        <v>48</v>
      </c>
      <c r="E828" t="s">
        <v>49</v>
      </c>
      <c r="F828">
        <v>119835.71</v>
      </c>
    </row>
    <row r="829" spans="1:6" x14ac:dyDescent="0.3">
      <c r="A829">
        <v>2023</v>
      </c>
      <c r="B829">
        <v>11</v>
      </c>
      <c r="C829" t="s">
        <v>45</v>
      </c>
      <c r="D829" t="s">
        <v>48</v>
      </c>
      <c r="E829" t="s">
        <v>49</v>
      </c>
      <c r="F829">
        <v>62373.31</v>
      </c>
    </row>
    <row r="830" spans="1:6" x14ac:dyDescent="0.3">
      <c r="A830">
        <v>2023</v>
      </c>
      <c r="B830">
        <v>11</v>
      </c>
      <c r="C830" t="s">
        <v>37</v>
      </c>
      <c r="D830" t="s">
        <v>48</v>
      </c>
      <c r="E830" t="s">
        <v>50</v>
      </c>
      <c r="F830">
        <v>76594.679999999993</v>
      </c>
    </row>
    <row r="831" spans="1:6" x14ac:dyDescent="0.3">
      <c r="A831">
        <v>2023</v>
      </c>
      <c r="B831">
        <v>11</v>
      </c>
      <c r="C831" t="s">
        <v>40</v>
      </c>
      <c r="D831" t="s">
        <v>48</v>
      </c>
      <c r="E831" t="s">
        <v>50</v>
      </c>
      <c r="F831">
        <v>69949.179999999993</v>
      </c>
    </row>
    <row r="832" spans="1:6" x14ac:dyDescent="0.3">
      <c r="A832">
        <v>2023</v>
      </c>
      <c r="B832">
        <v>11</v>
      </c>
      <c r="C832" t="s">
        <v>41</v>
      </c>
      <c r="D832" t="s">
        <v>48</v>
      </c>
      <c r="E832" t="s">
        <v>50</v>
      </c>
      <c r="F832">
        <v>93316.2</v>
      </c>
    </row>
    <row r="833" spans="1:6" x14ac:dyDescent="0.3">
      <c r="A833">
        <v>2023</v>
      </c>
      <c r="B833">
        <v>11</v>
      </c>
      <c r="C833" t="s">
        <v>42</v>
      </c>
      <c r="D833" t="s">
        <v>48</v>
      </c>
      <c r="E833" t="s">
        <v>50</v>
      </c>
      <c r="F833">
        <v>68580.179999999993</v>
      </c>
    </row>
    <row r="834" spans="1:6" x14ac:dyDescent="0.3">
      <c r="A834">
        <v>2023</v>
      </c>
      <c r="B834">
        <v>11</v>
      </c>
      <c r="C834" t="s">
        <v>43</v>
      </c>
      <c r="D834" t="s">
        <v>48</v>
      </c>
      <c r="E834" t="s">
        <v>50</v>
      </c>
      <c r="F834">
        <v>97179.46</v>
      </c>
    </row>
    <row r="835" spans="1:6" x14ac:dyDescent="0.3">
      <c r="A835">
        <v>2023</v>
      </c>
      <c r="B835">
        <v>11</v>
      </c>
      <c r="C835" t="s">
        <v>44</v>
      </c>
      <c r="D835" t="s">
        <v>48</v>
      </c>
      <c r="E835" t="s">
        <v>50</v>
      </c>
      <c r="F835">
        <v>53460.81</v>
      </c>
    </row>
    <row r="836" spans="1:6" x14ac:dyDescent="0.3">
      <c r="A836">
        <v>2023</v>
      </c>
      <c r="B836">
        <v>11</v>
      </c>
      <c r="C836" t="s">
        <v>45</v>
      </c>
      <c r="D836" t="s">
        <v>48</v>
      </c>
      <c r="E836" t="s">
        <v>50</v>
      </c>
      <c r="F836">
        <v>51555.01</v>
      </c>
    </row>
    <row r="837" spans="1:6" x14ac:dyDescent="0.3">
      <c r="A837">
        <v>2023</v>
      </c>
      <c r="B837">
        <v>11</v>
      </c>
      <c r="C837" t="s">
        <v>37</v>
      </c>
      <c r="D837" t="s">
        <v>48</v>
      </c>
      <c r="E837" t="s">
        <v>51</v>
      </c>
      <c r="F837">
        <v>17137.41</v>
      </c>
    </row>
    <row r="838" spans="1:6" x14ac:dyDescent="0.3">
      <c r="A838">
        <v>2023</v>
      </c>
      <c r="B838">
        <v>11</v>
      </c>
      <c r="C838" t="s">
        <v>40</v>
      </c>
      <c r="D838" t="s">
        <v>48</v>
      </c>
      <c r="E838" t="s">
        <v>51</v>
      </c>
      <c r="F838">
        <v>97169.71</v>
      </c>
    </row>
    <row r="839" spans="1:6" x14ac:dyDescent="0.3">
      <c r="A839">
        <v>2023</v>
      </c>
      <c r="B839">
        <v>11</v>
      </c>
      <c r="C839" t="s">
        <v>41</v>
      </c>
      <c r="D839" t="s">
        <v>48</v>
      </c>
      <c r="E839" t="s">
        <v>51</v>
      </c>
      <c r="F839">
        <v>43639.45</v>
      </c>
    </row>
    <row r="840" spans="1:6" x14ac:dyDescent="0.3">
      <c r="A840">
        <v>2023</v>
      </c>
      <c r="B840">
        <v>11</v>
      </c>
      <c r="C840" t="s">
        <v>42</v>
      </c>
      <c r="D840" t="s">
        <v>48</v>
      </c>
      <c r="E840" t="s">
        <v>51</v>
      </c>
      <c r="F840">
        <v>42762.43</v>
      </c>
    </row>
    <row r="841" spans="1:6" x14ac:dyDescent="0.3">
      <c r="A841">
        <v>2023</v>
      </c>
      <c r="B841">
        <v>11</v>
      </c>
      <c r="C841" t="s">
        <v>43</v>
      </c>
      <c r="D841" t="s">
        <v>48</v>
      </c>
      <c r="E841" t="s">
        <v>51</v>
      </c>
      <c r="F841">
        <v>76724.06</v>
      </c>
    </row>
    <row r="842" spans="1:6" x14ac:dyDescent="0.3">
      <c r="A842">
        <v>2023</v>
      </c>
      <c r="B842">
        <v>11</v>
      </c>
      <c r="C842" t="s">
        <v>44</v>
      </c>
      <c r="D842" t="s">
        <v>48</v>
      </c>
      <c r="E842" t="s">
        <v>51</v>
      </c>
      <c r="F842">
        <v>23415.46</v>
      </c>
    </row>
    <row r="843" spans="1:6" x14ac:dyDescent="0.3">
      <c r="A843">
        <v>2023</v>
      </c>
      <c r="B843">
        <v>11</v>
      </c>
      <c r="C843" t="s">
        <v>45</v>
      </c>
      <c r="D843" t="s">
        <v>48</v>
      </c>
      <c r="E843" t="s">
        <v>51</v>
      </c>
      <c r="F843">
        <v>75990.09</v>
      </c>
    </row>
    <row r="844" spans="1:6" x14ac:dyDescent="0.3">
      <c r="A844">
        <v>2023</v>
      </c>
      <c r="B844">
        <v>11</v>
      </c>
      <c r="C844" t="s">
        <v>37</v>
      </c>
      <c r="D844" t="s">
        <v>48</v>
      </c>
      <c r="E844" t="s">
        <v>52</v>
      </c>
      <c r="F844">
        <v>25473.35</v>
      </c>
    </row>
    <row r="845" spans="1:6" x14ac:dyDescent="0.3">
      <c r="A845">
        <v>2023</v>
      </c>
      <c r="B845">
        <v>11</v>
      </c>
      <c r="C845" t="s">
        <v>40</v>
      </c>
      <c r="D845" t="s">
        <v>48</v>
      </c>
      <c r="E845" t="s">
        <v>52</v>
      </c>
      <c r="F845">
        <v>92512.84</v>
      </c>
    </row>
    <row r="846" spans="1:6" x14ac:dyDescent="0.3">
      <c r="A846">
        <v>2023</v>
      </c>
      <c r="B846">
        <v>11</v>
      </c>
      <c r="C846" t="s">
        <v>41</v>
      </c>
      <c r="D846" t="s">
        <v>48</v>
      </c>
      <c r="E846" t="s">
        <v>52</v>
      </c>
      <c r="F846">
        <v>21567.07</v>
      </c>
    </row>
    <row r="847" spans="1:6" x14ac:dyDescent="0.3">
      <c r="A847">
        <v>2023</v>
      </c>
      <c r="B847">
        <v>11</v>
      </c>
      <c r="C847" t="s">
        <v>42</v>
      </c>
      <c r="D847" t="s">
        <v>48</v>
      </c>
      <c r="E847" t="s">
        <v>52</v>
      </c>
      <c r="F847">
        <v>110946.48</v>
      </c>
    </row>
    <row r="848" spans="1:6" x14ac:dyDescent="0.3">
      <c r="A848">
        <v>2023</v>
      </c>
      <c r="B848">
        <v>11</v>
      </c>
      <c r="C848" t="s">
        <v>43</v>
      </c>
      <c r="D848" t="s">
        <v>48</v>
      </c>
      <c r="E848" t="s">
        <v>52</v>
      </c>
      <c r="F848">
        <v>83121.39</v>
      </c>
    </row>
    <row r="849" spans="1:6" x14ac:dyDescent="0.3">
      <c r="A849">
        <v>2023</v>
      </c>
      <c r="B849">
        <v>11</v>
      </c>
      <c r="C849" t="s">
        <v>44</v>
      </c>
      <c r="D849" t="s">
        <v>48</v>
      </c>
      <c r="E849" t="s">
        <v>52</v>
      </c>
      <c r="F849">
        <v>72834.720000000001</v>
      </c>
    </row>
    <row r="850" spans="1:6" x14ac:dyDescent="0.3">
      <c r="A850">
        <v>2023</v>
      </c>
      <c r="B850">
        <v>11</v>
      </c>
      <c r="C850" t="s">
        <v>45</v>
      </c>
      <c r="D850" t="s">
        <v>48</v>
      </c>
      <c r="E850" t="s">
        <v>52</v>
      </c>
      <c r="F850">
        <v>88684.58</v>
      </c>
    </row>
    <row r="851" spans="1:6" x14ac:dyDescent="0.3">
      <c r="A851">
        <v>2023</v>
      </c>
      <c r="B851">
        <v>11</v>
      </c>
      <c r="C851" t="s">
        <v>37</v>
      </c>
      <c r="D851" t="s">
        <v>48</v>
      </c>
      <c r="E851" t="s">
        <v>53</v>
      </c>
      <c r="F851">
        <v>54209.31</v>
      </c>
    </row>
    <row r="852" spans="1:6" x14ac:dyDescent="0.3">
      <c r="A852">
        <v>2023</v>
      </c>
      <c r="B852">
        <v>11</v>
      </c>
      <c r="C852" t="s">
        <v>40</v>
      </c>
      <c r="D852" t="s">
        <v>48</v>
      </c>
      <c r="E852" t="s">
        <v>53</v>
      </c>
      <c r="F852">
        <v>28973.81</v>
      </c>
    </row>
    <row r="853" spans="1:6" x14ac:dyDescent="0.3">
      <c r="A853">
        <v>2023</v>
      </c>
      <c r="B853">
        <v>11</v>
      </c>
      <c r="C853" t="s">
        <v>41</v>
      </c>
      <c r="D853" t="s">
        <v>48</v>
      </c>
      <c r="E853" t="s">
        <v>53</v>
      </c>
      <c r="F853">
        <v>114278.99</v>
      </c>
    </row>
    <row r="854" spans="1:6" x14ac:dyDescent="0.3">
      <c r="A854">
        <v>2023</v>
      </c>
      <c r="B854">
        <v>11</v>
      </c>
      <c r="C854" t="s">
        <v>42</v>
      </c>
      <c r="D854" t="s">
        <v>48</v>
      </c>
      <c r="E854" t="s">
        <v>53</v>
      </c>
      <c r="F854">
        <v>12942.62</v>
      </c>
    </row>
    <row r="855" spans="1:6" x14ac:dyDescent="0.3">
      <c r="A855">
        <v>2023</v>
      </c>
      <c r="B855">
        <v>11</v>
      </c>
      <c r="C855" t="s">
        <v>43</v>
      </c>
      <c r="D855" t="s">
        <v>48</v>
      </c>
      <c r="E855" t="s">
        <v>53</v>
      </c>
      <c r="F855">
        <v>61764.03</v>
      </c>
    </row>
    <row r="856" spans="1:6" x14ac:dyDescent="0.3">
      <c r="A856">
        <v>2023</v>
      </c>
      <c r="B856">
        <v>11</v>
      </c>
      <c r="C856" t="s">
        <v>44</v>
      </c>
      <c r="D856" t="s">
        <v>48</v>
      </c>
      <c r="E856" t="s">
        <v>53</v>
      </c>
      <c r="F856">
        <v>98526.85</v>
      </c>
    </row>
    <row r="857" spans="1:6" x14ac:dyDescent="0.3">
      <c r="A857">
        <v>2023</v>
      </c>
      <c r="B857">
        <v>11</v>
      </c>
      <c r="C857" t="s">
        <v>45</v>
      </c>
      <c r="D857" t="s">
        <v>48</v>
      </c>
      <c r="E857" t="s">
        <v>53</v>
      </c>
      <c r="F857">
        <v>24352.46</v>
      </c>
    </row>
    <row r="858" spans="1:6" x14ac:dyDescent="0.3">
      <c r="A858">
        <v>2023</v>
      </c>
      <c r="B858">
        <v>11</v>
      </c>
      <c r="C858" t="s">
        <v>37</v>
      </c>
      <c r="D858" t="s">
        <v>48</v>
      </c>
      <c r="E858" t="s">
        <v>54</v>
      </c>
      <c r="F858">
        <v>46869.21</v>
      </c>
    </row>
    <row r="859" spans="1:6" x14ac:dyDescent="0.3">
      <c r="A859">
        <v>2023</v>
      </c>
      <c r="B859">
        <v>11</v>
      </c>
      <c r="C859" t="s">
        <v>40</v>
      </c>
      <c r="D859" t="s">
        <v>48</v>
      </c>
      <c r="E859" t="s">
        <v>54</v>
      </c>
      <c r="F859">
        <v>18819.61</v>
      </c>
    </row>
    <row r="860" spans="1:6" x14ac:dyDescent="0.3">
      <c r="A860">
        <v>2023</v>
      </c>
      <c r="B860">
        <v>11</v>
      </c>
      <c r="C860" t="s">
        <v>41</v>
      </c>
      <c r="D860" t="s">
        <v>48</v>
      </c>
      <c r="E860" t="s">
        <v>54</v>
      </c>
      <c r="F860">
        <v>99841.7</v>
      </c>
    </row>
    <row r="861" spans="1:6" x14ac:dyDescent="0.3">
      <c r="A861">
        <v>2023</v>
      </c>
      <c r="B861">
        <v>11</v>
      </c>
      <c r="C861" t="s">
        <v>42</v>
      </c>
      <c r="D861" t="s">
        <v>48</v>
      </c>
      <c r="E861" t="s">
        <v>54</v>
      </c>
      <c r="F861">
        <v>12058.37</v>
      </c>
    </row>
    <row r="862" spans="1:6" x14ac:dyDescent="0.3">
      <c r="A862">
        <v>2023</v>
      </c>
      <c r="B862">
        <v>11</v>
      </c>
      <c r="C862" t="s">
        <v>43</v>
      </c>
      <c r="D862" t="s">
        <v>48</v>
      </c>
      <c r="E862" t="s">
        <v>54</v>
      </c>
      <c r="F862">
        <v>93543.71</v>
      </c>
    </row>
    <row r="863" spans="1:6" x14ac:dyDescent="0.3">
      <c r="A863">
        <v>2023</v>
      </c>
      <c r="B863">
        <v>11</v>
      </c>
      <c r="C863" t="s">
        <v>44</v>
      </c>
      <c r="D863" t="s">
        <v>48</v>
      </c>
      <c r="E863" t="s">
        <v>54</v>
      </c>
      <c r="F863">
        <v>79190.679999999993</v>
      </c>
    </row>
    <row r="864" spans="1:6" x14ac:dyDescent="0.3">
      <c r="A864">
        <v>2023</v>
      </c>
      <c r="B864">
        <v>11</v>
      </c>
      <c r="C864" t="s">
        <v>45</v>
      </c>
      <c r="D864" t="s">
        <v>48</v>
      </c>
      <c r="E864" t="s">
        <v>54</v>
      </c>
      <c r="F864">
        <v>88185.02</v>
      </c>
    </row>
    <row r="865" spans="1:6" x14ac:dyDescent="0.3">
      <c r="A865">
        <v>2023</v>
      </c>
      <c r="B865">
        <v>11</v>
      </c>
      <c r="C865" t="s">
        <v>37</v>
      </c>
      <c r="D865" t="s">
        <v>48</v>
      </c>
      <c r="E865" t="s">
        <v>55</v>
      </c>
      <c r="F865">
        <v>107119.31</v>
      </c>
    </row>
    <row r="866" spans="1:6" x14ac:dyDescent="0.3">
      <c r="A866">
        <v>2023</v>
      </c>
      <c r="B866">
        <v>11</v>
      </c>
      <c r="C866" t="s">
        <v>40</v>
      </c>
      <c r="D866" t="s">
        <v>48</v>
      </c>
      <c r="E866" t="s">
        <v>55</v>
      </c>
      <c r="F866">
        <v>78429.64</v>
      </c>
    </row>
    <row r="867" spans="1:6" x14ac:dyDescent="0.3">
      <c r="A867">
        <v>2023</v>
      </c>
      <c r="B867">
        <v>11</v>
      </c>
      <c r="C867" t="s">
        <v>41</v>
      </c>
      <c r="D867" t="s">
        <v>48</v>
      </c>
      <c r="E867" t="s">
        <v>55</v>
      </c>
      <c r="F867">
        <v>32642.89</v>
      </c>
    </row>
    <row r="868" spans="1:6" x14ac:dyDescent="0.3">
      <c r="A868">
        <v>2023</v>
      </c>
      <c r="B868">
        <v>11</v>
      </c>
      <c r="C868" t="s">
        <v>42</v>
      </c>
      <c r="D868" t="s">
        <v>48</v>
      </c>
      <c r="E868" t="s">
        <v>55</v>
      </c>
      <c r="F868">
        <v>88678.97</v>
      </c>
    </row>
    <row r="869" spans="1:6" x14ac:dyDescent="0.3">
      <c r="A869">
        <v>2023</v>
      </c>
      <c r="B869">
        <v>11</v>
      </c>
      <c r="C869" t="s">
        <v>43</v>
      </c>
      <c r="D869" t="s">
        <v>48</v>
      </c>
      <c r="E869" t="s">
        <v>55</v>
      </c>
      <c r="F869">
        <v>110623.67999999999</v>
      </c>
    </row>
    <row r="870" spans="1:6" x14ac:dyDescent="0.3">
      <c r="A870">
        <v>2023</v>
      </c>
      <c r="B870">
        <v>11</v>
      </c>
      <c r="C870" t="s">
        <v>44</v>
      </c>
      <c r="D870" t="s">
        <v>48</v>
      </c>
      <c r="E870" t="s">
        <v>55</v>
      </c>
      <c r="F870">
        <v>46735.39</v>
      </c>
    </row>
    <row r="871" spans="1:6" x14ac:dyDescent="0.3">
      <c r="A871">
        <v>2023</v>
      </c>
      <c r="B871">
        <v>11</v>
      </c>
      <c r="C871" t="s">
        <v>45</v>
      </c>
      <c r="D871" t="s">
        <v>48</v>
      </c>
      <c r="E871" t="s">
        <v>55</v>
      </c>
      <c r="F871">
        <v>113503.8</v>
      </c>
    </row>
    <row r="872" spans="1:6" x14ac:dyDescent="0.3">
      <c r="A872">
        <v>2023</v>
      </c>
      <c r="B872">
        <v>11</v>
      </c>
      <c r="C872" t="s">
        <v>37</v>
      </c>
      <c r="D872" t="s">
        <v>48</v>
      </c>
      <c r="E872" t="s">
        <v>56</v>
      </c>
      <c r="F872">
        <v>56179.01</v>
      </c>
    </row>
    <row r="873" spans="1:6" x14ac:dyDescent="0.3">
      <c r="A873">
        <v>2023</v>
      </c>
      <c r="B873">
        <v>11</v>
      </c>
      <c r="C873" t="s">
        <v>40</v>
      </c>
      <c r="D873" t="s">
        <v>48</v>
      </c>
      <c r="E873" t="s">
        <v>56</v>
      </c>
      <c r="F873">
        <v>104679.13</v>
      </c>
    </row>
    <row r="874" spans="1:6" x14ac:dyDescent="0.3">
      <c r="A874">
        <v>2023</v>
      </c>
      <c r="B874">
        <v>11</v>
      </c>
      <c r="C874" t="s">
        <v>41</v>
      </c>
      <c r="D874" t="s">
        <v>48</v>
      </c>
      <c r="E874" t="s">
        <v>56</v>
      </c>
      <c r="F874">
        <v>68854.289999999994</v>
      </c>
    </row>
    <row r="875" spans="1:6" x14ac:dyDescent="0.3">
      <c r="A875">
        <v>2023</v>
      </c>
      <c r="B875">
        <v>11</v>
      </c>
      <c r="C875" t="s">
        <v>42</v>
      </c>
      <c r="D875" t="s">
        <v>48</v>
      </c>
      <c r="E875" t="s">
        <v>56</v>
      </c>
      <c r="F875">
        <v>65087.98</v>
      </c>
    </row>
    <row r="876" spans="1:6" x14ac:dyDescent="0.3">
      <c r="A876">
        <v>2023</v>
      </c>
      <c r="B876">
        <v>11</v>
      </c>
      <c r="C876" t="s">
        <v>43</v>
      </c>
      <c r="D876" t="s">
        <v>48</v>
      </c>
      <c r="E876" t="s">
        <v>56</v>
      </c>
      <c r="F876">
        <v>40811.47</v>
      </c>
    </row>
    <row r="877" spans="1:6" x14ac:dyDescent="0.3">
      <c r="A877">
        <v>2023</v>
      </c>
      <c r="B877">
        <v>11</v>
      </c>
      <c r="C877" t="s">
        <v>44</v>
      </c>
      <c r="D877" t="s">
        <v>48</v>
      </c>
      <c r="E877" t="s">
        <v>56</v>
      </c>
      <c r="F877">
        <v>89282.68</v>
      </c>
    </row>
    <row r="878" spans="1:6" x14ac:dyDescent="0.3">
      <c r="A878">
        <v>2023</v>
      </c>
      <c r="B878">
        <v>11</v>
      </c>
      <c r="C878" t="s">
        <v>45</v>
      </c>
      <c r="D878" t="s">
        <v>48</v>
      </c>
      <c r="E878" t="s">
        <v>56</v>
      </c>
      <c r="F878">
        <v>100548.85</v>
      </c>
    </row>
    <row r="879" spans="1:6" x14ac:dyDescent="0.3">
      <c r="A879">
        <v>2023</v>
      </c>
      <c r="B879">
        <v>11</v>
      </c>
      <c r="C879" t="s">
        <v>37</v>
      </c>
      <c r="D879" t="s">
        <v>57</v>
      </c>
      <c r="E879" t="s">
        <v>58</v>
      </c>
      <c r="F879">
        <v>109514.15</v>
      </c>
    </row>
    <row r="880" spans="1:6" x14ac:dyDescent="0.3">
      <c r="A880">
        <v>2023</v>
      </c>
      <c r="B880">
        <v>11</v>
      </c>
      <c r="C880" t="s">
        <v>37</v>
      </c>
      <c r="D880" t="s">
        <v>57</v>
      </c>
      <c r="E880" t="s">
        <v>59</v>
      </c>
      <c r="F880">
        <v>117786.54</v>
      </c>
    </row>
    <row r="881" spans="1:6" x14ac:dyDescent="0.3">
      <c r="A881">
        <v>2023</v>
      </c>
      <c r="B881">
        <v>11</v>
      </c>
      <c r="C881" t="s">
        <v>37</v>
      </c>
      <c r="D881" t="s">
        <v>57</v>
      </c>
      <c r="E881" t="s">
        <v>60</v>
      </c>
      <c r="F881">
        <v>26745.46</v>
      </c>
    </row>
    <row r="882" spans="1:6" x14ac:dyDescent="0.3">
      <c r="A882">
        <v>2023</v>
      </c>
      <c r="B882">
        <v>12</v>
      </c>
      <c r="C882" t="s">
        <v>37</v>
      </c>
      <c r="D882" t="s">
        <v>38</v>
      </c>
      <c r="E882" t="s">
        <v>39</v>
      </c>
      <c r="F882">
        <v>116805.75</v>
      </c>
    </row>
    <row r="883" spans="1:6" x14ac:dyDescent="0.3">
      <c r="A883">
        <v>2023</v>
      </c>
      <c r="B883">
        <v>12</v>
      </c>
      <c r="C883" t="s">
        <v>40</v>
      </c>
      <c r="D883" t="s">
        <v>38</v>
      </c>
      <c r="E883" t="s">
        <v>39</v>
      </c>
      <c r="F883">
        <v>64849.43</v>
      </c>
    </row>
    <row r="884" spans="1:6" x14ac:dyDescent="0.3">
      <c r="A884">
        <v>2023</v>
      </c>
      <c r="B884">
        <v>12</v>
      </c>
      <c r="C884" t="s">
        <v>41</v>
      </c>
      <c r="D884" t="s">
        <v>38</v>
      </c>
      <c r="E884" t="s">
        <v>39</v>
      </c>
      <c r="F884">
        <v>76104.570000000007</v>
      </c>
    </row>
    <row r="885" spans="1:6" x14ac:dyDescent="0.3">
      <c r="A885">
        <v>2023</v>
      </c>
      <c r="B885">
        <v>12</v>
      </c>
      <c r="C885" t="s">
        <v>42</v>
      </c>
      <c r="D885" t="s">
        <v>38</v>
      </c>
      <c r="E885" t="s">
        <v>39</v>
      </c>
      <c r="F885">
        <v>85068.57</v>
      </c>
    </row>
    <row r="886" spans="1:6" x14ac:dyDescent="0.3">
      <c r="A886">
        <v>2023</v>
      </c>
      <c r="B886">
        <v>12</v>
      </c>
      <c r="C886" t="s">
        <v>43</v>
      </c>
      <c r="D886" t="s">
        <v>38</v>
      </c>
      <c r="E886" t="s">
        <v>39</v>
      </c>
      <c r="F886">
        <v>117077.64</v>
      </c>
    </row>
    <row r="887" spans="1:6" x14ac:dyDescent="0.3">
      <c r="A887">
        <v>2023</v>
      </c>
      <c r="B887">
        <v>12</v>
      </c>
      <c r="C887" t="s">
        <v>44</v>
      </c>
      <c r="D887" t="s">
        <v>38</v>
      </c>
      <c r="E887" t="s">
        <v>39</v>
      </c>
      <c r="F887">
        <v>113687.19</v>
      </c>
    </row>
    <row r="888" spans="1:6" x14ac:dyDescent="0.3">
      <c r="A888">
        <v>2023</v>
      </c>
      <c r="B888">
        <v>12</v>
      </c>
      <c r="C888" t="s">
        <v>45</v>
      </c>
      <c r="D888" t="s">
        <v>38</v>
      </c>
      <c r="E888" t="s">
        <v>39</v>
      </c>
      <c r="F888">
        <v>95644.71</v>
      </c>
    </row>
    <row r="889" spans="1:6" x14ac:dyDescent="0.3">
      <c r="A889">
        <v>2023</v>
      </c>
      <c r="B889">
        <v>12</v>
      </c>
      <c r="C889" t="s">
        <v>37</v>
      </c>
      <c r="D889" t="s">
        <v>38</v>
      </c>
      <c r="E889" t="s">
        <v>46</v>
      </c>
      <c r="F889">
        <v>60211.87</v>
      </c>
    </row>
    <row r="890" spans="1:6" x14ac:dyDescent="0.3">
      <c r="A890">
        <v>2023</v>
      </c>
      <c r="B890">
        <v>12</v>
      </c>
      <c r="C890" t="s">
        <v>40</v>
      </c>
      <c r="D890" t="s">
        <v>38</v>
      </c>
      <c r="E890" t="s">
        <v>46</v>
      </c>
      <c r="F890">
        <v>82305.27</v>
      </c>
    </row>
    <row r="891" spans="1:6" x14ac:dyDescent="0.3">
      <c r="A891">
        <v>2023</v>
      </c>
      <c r="B891">
        <v>12</v>
      </c>
      <c r="C891" t="s">
        <v>41</v>
      </c>
      <c r="D891" t="s">
        <v>38</v>
      </c>
      <c r="E891" t="s">
        <v>46</v>
      </c>
      <c r="F891">
        <v>74188.210000000006</v>
      </c>
    </row>
    <row r="892" spans="1:6" x14ac:dyDescent="0.3">
      <c r="A892">
        <v>2023</v>
      </c>
      <c r="B892">
        <v>12</v>
      </c>
      <c r="C892" t="s">
        <v>42</v>
      </c>
      <c r="D892" t="s">
        <v>38</v>
      </c>
      <c r="E892" t="s">
        <v>46</v>
      </c>
      <c r="F892">
        <v>47023.33</v>
      </c>
    </row>
    <row r="893" spans="1:6" x14ac:dyDescent="0.3">
      <c r="A893">
        <v>2023</v>
      </c>
      <c r="B893">
        <v>12</v>
      </c>
      <c r="C893" t="s">
        <v>43</v>
      </c>
      <c r="D893" t="s">
        <v>38</v>
      </c>
      <c r="E893" t="s">
        <v>46</v>
      </c>
      <c r="F893">
        <v>111748.85</v>
      </c>
    </row>
    <row r="894" spans="1:6" x14ac:dyDescent="0.3">
      <c r="A894">
        <v>2023</v>
      </c>
      <c r="B894">
        <v>12</v>
      </c>
      <c r="C894" t="s">
        <v>44</v>
      </c>
      <c r="D894" t="s">
        <v>38</v>
      </c>
      <c r="E894" t="s">
        <v>46</v>
      </c>
      <c r="F894">
        <v>86346.19</v>
      </c>
    </row>
    <row r="895" spans="1:6" x14ac:dyDescent="0.3">
      <c r="A895">
        <v>2023</v>
      </c>
      <c r="B895">
        <v>12</v>
      </c>
      <c r="C895" t="s">
        <v>45</v>
      </c>
      <c r="D895" t="s">
        <v>38</v>
      </c>
      <c r="E895" t="s">
        <v>46</v>
      </c>
      <c r="F895">
        <v>27273.32</v>
      </c>
    </row>
    <row r="896" spans="1:6" x14ac:dyDescent="0.3">
      <c r="A896">
        <v>2023</v>
      </c>
      <c r="B896">
        <v>12</v>
      </c>
      <c r="C896" t="s">
        <v>37</v>
      </c>
      <c r="D896" t="s">
        <v>38</v>
      </c>
      <c r="E896" t="s">
        <v>47</v>
      </c>
      <c r="F896">
        <v>76711.86</v>
      </c>
    </row>
    <row r="897" spans="1:6" x14ac:dyDescent="0.3">
      <c r="A897">
        <v>2023</v>
      </c>
      <c r="B897">
        <v>12</v>
      </c>
      <c r="C897" t="s">
        <v>40</v>
      </c>
      <c r="D897" t="s">
        <v>38</v>
      </c>
      <c r="E897" t="s">
        <v>47</v>
      </c>
      <c r="F897">
        <v>71107.27</v>
      </c>
    </row>
    <row r="898" spans="1:6" x14ac:dyDescent="0.3">
      <c r="A898">
        <v>2023</v>
      </c>
      <c r="B898">
        <v>12</v>
      </c>
      <c r="C898" t="s">
        <v>41</v>
      </c>
      <c r="D898" t="s">
        <v>38</v>
      </c>
      <c r="E898" t="s">
        <v>47</v>
      </c>
      <c r="F898">
        <v>109058.03</v>
      </c>
    </row>
    <row r="899" spans="1:6" x14ac:dyDescent="0.3">
      <c r="A899">
        <v>2023</v>
      </c>
      <c r="B899">
        <v>12</v>
      </c>
      <c r="C899" t="s">
        <v>42</v>
      </c>
      <c r="D899" t="s">
        <v>38</v>
      </c>
      <c r="E899" t="s">
        <v>47</v>
      </c>
      <c r="F899">
        <v>85546.13</v>
      </c>
    </row>
    <row r="900" spans="1:6" x14ac:dyDescent="0.3">
      <c r="A900">
        <v>2023</v>
      </c>
      <c r="B900">
        <v>12</v>
      </c>
      <c r="C900" t="s">
        <v>43</v>
      </c>
      <c r="D900" t="s">
        <v>38</v>
      </c>
      <c r="E900" t="s">
        <v>47</v>
      </c>
      <c r="F900">
        <v>108723.68</v>
      </c>
    </row>
    <row r="901" spans="1:6" x14ac:dyDescent="0.3">
      <c r="A901">
        <v>2023</v>
      </c>
      <c r="B901">
        <v>12</v>
      </c>
      <c r="C901" t="s">
        <v>44</v>
      </c>
      <c r="D901" t="s">
        <v>38</v>
      </c>
      <c r="E901" t="s">
        <v>47</v>
      </c>
      <c r="F901">
        <v>108175.52</v>
      </c>
    </row>
    <row r="902" spans="1:6" x14ac:dyDescent="0.3">
      <c r="A902">
        <v>2023</v>
      </c>
      <c r="B902">
        <v>12</v>
      </c>
      <c r="C902" t="s">
        <v>45</v>
      </c>
      <c r="D902" t="s">
        <v>38</v>
      </c>
      <c r="E902" t="s">
        <v>47</v>
      </c>
      <c r="F902">
        <v>22921.73</v>
      </c>
    </row>
    <row r="903" spans="1:6" x14ac:dyDescent="0.3">
      <c r="A903">
        <v>2023</v>
      </c>
      <c r="B903">
        <v>12</v>
      </c>
      <c r="C903" t="s">
        <v>37</v>
      </c>
      <c r="D903" t="s">
        <v>48</v>
      </c>
      <c r="E903" t="s">
        <v>49</v>
      </c>
      <c r="F903">
        <v>34568.120000000003</v>
      </c>
    </row>
    <row r="904" spans="1:6" x14ac:dyDescent="0.3">
      <c r="A904">
        <v>2023</v>
      </c>
      <c r="B904">
        <v>12</v>
      </c>
      <c r="C904" t="s">
        <v>40</v>
      </c>
      <c r="D904" t="s">
        <v>48</v>
      </c>
      <c r="E904" t="s">
        <v>49</v>
      </c>
      <c r="F904">
        <v>89232.19</v>
      </c>
    </row>
    <row r="905" spans="1:6" x14ac:dyDescent="0.3">
      <c r="A905">
        <v>2023</v>
      </c>
      <c r="B905">
        <v>12</v>
      </c>
      <c r="C905" t="s">
        <v>41</v>
      </c>
      <c r="D905" t="s">
        <v>48</v>
      </c>
      <c r="E905" t="s">
        <v>49</v>
      </c>
      <c r="F905">
        <v>82240.33</v>
      </c>
    </row>
    <row r="906" spans="1:6" x14ac:dyDescent="0.3">
      <c r="A906">
        <v>2023</v>
      </c>
      <c r="B906">
        <v>12</v>
      </c>
      <c r="C906" t="s">
        <v>42</v>
      </c>
      <c r="D906" t="s">
        <v>48</v>
      </c>
      <c r="E906" t="s">
        <v>49</v>
      </c>
      <c r="F906">
        <v>106439.98</v>
      </c>
    </row>
    <row r="907" spans="1:6" x14ac:dyDescent="0.3">
      <c r="A907">
        <v>2023</v>
      </c>
      <c r="B907">
        <v>12</v>
      </c>
      <c r="C907" t="s">
        <v>43</v>
      </c>
      <c r="D907" t="s">
        <v>48</v>
      </c>
      <c r="E907" t="s">
        <v>49</v>
      </c>
      <c r="F907">
        <v>64095.94</v>
      </c>
    </row>
    <row r="908" spans="1:6" x14ac:dyDescent="0.3">
      <c r="A908">
        <v>2023</v>
      </c>
      <c r="B908">
        <v>12</v>
      </c>
      <c r="C908" t="s">
        <v>44</v>
      </c>
      <c r="D908" t="s">
        <v>48</v>
      </c>
      <c r="E908" t="s">
        <v>49</v>
      </c>
      <c r="F908">
        <v>22647.84</v>
      </c>
    </row>
    <row r="909" spans="1:6" x14ac:dyDescent="0.3">
      <c r="A909">
        <v>2023</v>
      </c>
      <c r="B909">
        <v>12</v>
      </c>
      <c r="C909" t="s">
        <v>45</v>
      </c>
      <c r="D909" t="s">
        <v>48</v>
      </c>
      <c r="E909" t="s">
        <v>49</v>
      </c>
      <c r="F909">
        <v>99241.41</v>
      </c>
    </row>
    <row r="910" spans="1:6" x14ac:dyDescent="0.3">
      <c r="A910">
        <v>2023</v>
      </c>
      <c r="B910">
        <v>12</v>
      </c>
      <c r="C910" t="s">
        <v>37</v>
      </c>
      <c r="D910" t="s">
        <v>48</v>
      </c>
      <c r="E910" t="s">
        <v>50</v>
      </c>
      <c r="F910">
        <v>62420.67</v>
      </c>
    </row>
    <row r="911" spans="1:6" x14ac:dyDescent="0.3">
      <c r="A911">
        <v>2023</v>
      </c>
      <c r="B911">
        <v>12</v>
      </c>
      <c r="C911" t="s">
        <v>40</v>
      </c>
      <c r="D911" t="s">
        <v>48</v>
      </c>
      <c r="E911" t="s">
        <v>50</v>
      </c>
      <c r="F911">
        <v>78901.64</v>
      </c>
    </row>
    <row r="912" spans="1:6" x14ac:dyDescent="0.3">
      <c r="A912">
        <v>2023</v>
      </c>
      <c r="B912">
        <v>12</v>
      </c>
      <c r="C912" t="s">
        <v>41</v>
      </c>
      <c r="D912" t="s">
        <v>48</v>
      </c>
      <c r="E912" t="s">
        <v>50</v>
      </c>
      <c r="F912">
        <v>13420.64</v>
      </c>
    </row>
    <row r="913" spans="1:6" x14ac:dyDescent="0.3">
      <c r="A913">
        <v>2023</v>
      </c>
      <c r="B913">
        <v>12</v>
      </c>
      <c r="C913" t="s">
        <v>42</v>
      </c>
      <c r="D913" t="s">
        <v>48</v>
      </c>
      <c r="E913" t="s">
        <v>50</v>
      </c>
      <c r="F913">
        <v>93525.32</v>
      </c>
    </row>
    <row r="914" spans="1:6" x14ac:dyDescent="0.3">
      <c r="A914">
        <v>2023</v>
      </c>
      <c r="B914">
        <v>12</v>
      </c>
      <c r="C914" t="s">
        <v>43</v>
      </c>
      <c r="D914" t="s">
        <v>48</v>
      </c>
      <c r="E914" t="s">
        <v>50</v>
      </c>
      <c r="F914">
        <v>83269.259999999995</v>
      </c>
    </row>
    <row r="915" spans="1:6" x14ac:dyDescent="0.3">
      <c r="A915">
        <v>2023</v>
      </c>
      <c r="B915">
        <v>12</v>
      </c>
      <c r="C915" t="s">
        <v>44</v>
      </c>
      <c r="D915" t="s">
        <v>48</v>
      </c>
      <c r="E915" t="s">
        <v>50</v>
      </c>
      <c r="F915">
        <v>67399.83</v>
      </c>
    </row>
    <row r="916" spans="1:6" x14ac:dyDescent="0.3">
      <c r="A916">
        <v>2023</v>
      </c>
      <c r="B916">
        <v>12</v>
      </c>
      <c r="C916" t="s">
        <v>45</v>
      </c>
      <c r="D916" t="s">
        <v>48</v>
      </c>
      <c r="E916" t="s">
        <v>50</v>
      </c>
      <c r="F916">
        <v>42313.34</v>
      </c>
    </row>
    <row r="917" spans="1:6" x14ac:dyDescent="0.3">
      <c r="A917">
        <v>2023</v>
      </c>
      <c r="B917">
        <v>12</v>
      </c>
      <c r="C917" t="s">
        <v>37</v>
      </c>
      <c r="D917" t="s">
        <v>48</v>
      </c>
      <c r="E917" t="s">
        <v>51</v>
      </c>
      <c r="F917">
        <v>45099.360000000001</v>
      </c>
    </row>
    <row r="918" spans="1:6" x14ac:dyDescent="0.3">
      <c r="A918">
        <v>2023</v>
      </c>
      <c r="B918">
        <v>12</v>
      </c>
      <c r="C918" t="s">
        <v>40</v>
      </c>
      <c r="D918" t="s">
        <v>48</v>
      </c>
      <c r="E918" t="s">
        <v>51</v>
      </c>
      <c r="F918">
        <v>45089.82</v>
      </c>
    </row>
    <row r="919" spans="1:6" x14ac:dyDescent="0.3">
      <c r="A919">
        <v>2023</v>
      </c>
      <c r="B919">
        <v>12</v>
      </c>
      <c r="C919" t="s">
        <v>41</v>
      </c>
      <c r="D919" t="s">
        <v>48</v>
      </c>
      <c r="E919" t="s">
        <v>51</v>
      </c>
      <c r="F919">
        <v>108604.59</v>
      </c>
    </row>
    <row r="920" spans="1:6" x14ac:dyDescent="0.3">
      <c r="A920">
        <v>2023</v>
      </c>
      <c r="B920">
        <v>12</v>
      </c>
      <c r="C920" t="s">
        <v>42</v>
      </c>
      <c r="D920" t="s">
        <v>48</v>
      </c>
      <c r="E920" t="s">
        <v>51</v>
      </c>
      <c r="F920">
        <v>87902.7</v>
      </c>
    </row>
    <row r="921" spans="1:6" x14ac:dyDescent="0.3">
      <c r="A921">
        <v>2023</v>
      </c>
      <c r="B921">
        <v>12</v>
      </c>
      <c r="C921" t="s">
        <v>43</v>
      </c>
      <c r="D921" t="s">
        <v>48</v>
      </c>
      <c r="E921" t="s">
        <v>51</v>
      </c>
      <c r="F921">
        <v>44139.12</v>
      </c>
    </row>
    <row r="922" spans="1:6" x14ac:dyDescent="0.3">
      <c r="A922">
        <v>2023</v>
      </c>
      <c r="B922">
        <v>12</v>
      </c>
      <c r="C922" t="s">
        <v>44</v>
      </c>
      <c r="D922" t="s">
        <v>48</v>
      </c>
      <c r="E922" t="s">
        <v>51</v>
      </c>
      <c r="F922">
        <v>23869.13</v>
      </c>
    </row>
    <row r="923" spans="1:6" x14ac:dyDescent="0.3">
      <c r="A923">
        <v>2023</v>
      </c>
      <c r="B923">
        <v>12</v>
      </c>
      <c r="C923" t="s">
        <v>45</v>
      </c>
      <c r="D923" t="s">
        <v>48</v>
      </c>
      <c r="E923" t="s">
        <v>51</v>
      </c>
      <c r="F923">
        <v>43875.35</v>
      </c>
    </row>
    <row r="924" spans="1:6" x14ac:dyDescent="0.3">
      <c r="A924">
        <v>2023</v>
      </c>
      <c r="B924">
        <v>12</v>
      </c>
      <c r="C924" t="s">
        <v>37</v>
      </c>
      <c r="D924" t="s">
        <v>48</v>
      </c>
      <c r="E924" t="s">
        <v>52</v>
      </c>
      <c r="F924">
        <v>101193.93</v>
      </c>
    </row>
    <row r="925" spans="1:6" x14ac:dyDescent="0.3">
      <c r="A925">
        <v>2023</v>
      </c>
      <c r="B925">
        <v>12</v>
      </c>
      <c r="C925" t="s">
        <v>40</v>
      </c>
      <c r="D925" t="s">
        <v>48</v>
      </c>
      <c r="E925" t="s">
        <v>52</v>
      </c>
      <c r="F925">
        <v>94395.45</v>
      </c>
    </row>
    <row r="926" spans="1:6" x14ac:dyDescent="0.3">
      <c r="A926">
        <v>2023</v>
      </c>
      <c r="B926">
        <v>12</v>
      </c>
      <c r="C926" t="s">
        <v>41</v>
      </c>
      <c r="D926" t="s">
        <v>48</v>
      </c>
      <c r="E926" t="s">
        <v>52</v>
      </c>
      <c r="F926">
        <v>115988.73</v>
      </c>
    </row>
    <row r="927" spans="1:6" x14ac:dyDescent="0.3">
      <c r="A927">
        <v>2023</v>
      </c>
      <c r="B927">
        <v>12</v>
      </c>
      <c r="C927" t="s">
        <v>42</v>
      </c>
      <c r="D927" t="s">
        <v>48</v>
      </c>
      <c r="E927" t="s">
        <v>52</v>
      </c>
      <c r="F927">
        <v>65366.9</v>
      </c>
    </row>
    <row r="928" spans="1:6" x14ac:dyDescent="0.3">
      <c r="A928">
        <v>2023</v>
      </c>
      <c r="B928">
        <v>12</v>
      </c>
      <c r="C928" t="s">
        <v>43</v>
      </c>
      <c r="D928" t="s">
        <v>48</v>
      </c>
      <c r="E928" t="s">
        <v>52</v>
      </c>
      <c r="F928">
        <v>29116.66</v>
      </c>
    </row>
    <row r="929" spans="1:6" x14ac:dyDescent="0.3">
      <c r="A929">
        <v>2023</v>
      </c>
      <c r="B929">
        <v>12</v>
      </c>
      <c r="C929" t="s">
        <v>44</v>
      </c>
      <c r="D929" t="s">
        <v>48</v>
      </c>
      <c r="E929" t="s">
        <v>52</v>
      </c>
      <c r="F929">
        <v>16522.349999999999</v>
      </c>
    </row>
    <row r="930" spans="1:6" x14ac:dyDescent="0.3">
      <c r="A930">
        <v>2023</v>
      </c>
      <c r="B930">
        <v>12</v>
      </c>
      <c r="C930" t="s">
        <v>45</v>
      </c>
      <c r="D930" t="s">
        <v>48</v>
      </c>
      <c r="E930" t="s">
        <v>52</v>
      </c>
      <c r="F930">
        <v>119106.53</v>
      </c>
    </row>
    <row r="931" spans="1:6" x14ac:dyDescent="0.3">
      <c r="A931">
        <v>2023</v>
      </c>
      <c r="B931">
        <v>12</v>
      </c>
      <c r="C931" t="s">
        <v>37</v>
      </c>
      <c r="D931" t="s">
        <v>48</v>
      </c>
      <c r="E931" t="s">
        <v>53</v>
      </c>
      <c r="F931">
        <v>27681.06</v>
      </c>
    </row>
    <row r="932" spans="1:6" x14ac:dyDescent="0.3">
      <c r="A932">
        <v>2023</v>
      </c>
      <c r="B932">
        <v>12</v>
      </c>
      <c r="C932" t="s">
        <v>40</v>
      </c>
      <c r="D932" t="s">
        <v>48</v>
      </c>
      <c r="E932" t="s">
        <v>53</v>
      </c>
      <c r="F932">
        <v>90070.58</v>
      </c>
    </row>
    <row r="933" spans="1:6" x14ac:dyDescent="0.3">
      <c r="A933">
        <v>2023</v>
      </c>
      <c r="B933">
        <v>12</v>
      </c>
      <c r="C933" t="s">
        <v>41</v>
      </c>
      <c r="D933" t="s">
        <v>48</v>
      </c>
      <c r="E933" t="s">
        <v>53</v>
      </c>
      <c r="F933">
        <v>84169.93</v>
      </c>
    </row>
    <row r="934" spans="1:6" x14ac:dyDescent="0.3">
      <c r="A934">
        <v>2023</v>
      </c>
      <c r="B934">
        <v>12</v>
      </c>
      <c r="C934" t="s">
        <v>42</v>
      </c>
      <c r="D934" t="s">
        <v>48</v>
      </c>
      <c r="E934" t="s">
        <v>53</v>
      </c>
      <c r="F934">
        <v>45157.16</v>
      </c>
    </row>
    <row r="935" spans="1:6" x14ac:dyDescent="0.3">
      <c r="A935">
        <v>2023</v>
      </c>
      <c r="B935">
        <v>12</v>
      </c>
      <c r="C935" t="s">
        <v>43</v>
      </c>
      <c r="D935" t="s">
        <v>48</v>
      </c>
      <c r="E935" t="s">
        <v>53</v>
      </c>
      <c r="F935">
        <v>60108.51</v>
      </c>
    </row>
    <row r="936" spans="1:6" x14ac:dyDescent="0.3">
      <c r="A936">
        <v>2023</v>
      </c>
      <c r="B936">
        <v>12</v>
      </c>
      <c r="C936" t="s">
        <v>44</v>
      </c>
      <c r="D936" t="s">
        <v>48</v>
      </c>
      <c r="E936" t="s">
        <v>53</v>
      </c>
      <c r="F936">
        <v>57027.57</v>
      </c>
    </row>
    <row r="937" spans="1:6" x14ac:dyDescent="0.3">
      <c r="A937">
        <v>2023</v>
      </c>
      <c r="B937">
        <v>12</v>
      </c>
      <c r="C937" t="s">
        <v>45</v>
      </c>
      <c r="D937" t="s">
        <v>48</v>
      </c>
      <c r="E937" t="s">
        <v>53</v>
      </c>
      <c r="F937">
        <v>15170.68</v>
      </c>
    </row>
    <row r="938" spans="1:6" x14ac:dyDescent="0.3">
      <c r="A938">
        <v>2023</v>
      </c>
      <c r="B938">
        <v>12</v>
      </c>
      <c r="C938" t="s">
        <v>37</v>
      </c>
      <c r="D938" t="s">
        <v>48</v>
      </c>
      <c r="E938" t="s">
        <v>54</v>
      </c>
      <c r="F938">
        <v>49737.07</v>
      </c>
    </row>
    <row r="939" spans="1:6" x14ac:dyDescent="0.3">
      <c r="A939">
        <v>2023</v>
      </c>
      <c r="B939">
        <v>12</v>
      </c>
      <c r="C939" t="s">
        <v>40</v>
      </c>
      <c r="D939" t="s">
        <v>48</v>
      </c>
      <c r="E939" t="s">
        <v>54</v>
      </c>
      <c r="F939">
        <v>48261.96</v>
      </c>
    </row>
    <row r="940" spans="1:6" x14ac:dyDescent="0.3">
      <c r="A940">
        <v>2023</v>
      </c>
      <c r="B940">
        <v>12</v>
      </c>
      <c r="C940" t="s">
        <v>41</v>
      </c>
      <c r="D940" t="s">
        <v>48</v>
      </c>
      <c r="E940" t="s">
        <v>54</v>
      </c>
      <c r="F940">
        <v>66821.83</v>
      </c>
    </row>
    <row r="941" spans="1:6" x14ac:dyDescent="0.3">
      <c r="A941">
        <v>2023</v>
      </c>
      <c r="B941">
        <v>12</v>
      </c>
      <c r="C941" t="s">
        <v>42</v>
      </c>
      <c r="D941" t="s">
        <v>48</v>
      </c>
      <c r="E941" t="s">
        <v>54</v>
      </c>
      <c r="F941">
        <v>93472.92</v>
      </c>
    </row>
    <row r="942" spans="1:6" x14ac:dyDescent="0.3">
      <c r="A942">
        <v>2023</v>
      </c>
      <c r="B942">
        <v>12</v>
      </c>
      <c r="C942" t="s">
        <v>43</v>
      </c>
      <c r="D942" t="s">
        <v>48</v>
      </c>
      <c r="E942" t="s">
        <v>54</v>
      </c>
      <c r="F942">
        <v>12383.06</v>
      </c>
    </row>
    <row r="943" spans="1:6" x14ac:dyDescent="0.3">
      <c r="A943">
        <v>2023</v>
      </c>
      <c r="B943">
        <v>12</v>
      </c>
      <c r="C943" t="s">
        <v>44</v>
      </c>
      <c r="D943" t="s">
        <v>48</v>
      </c>
      <c r="E943" t="s">
        <v>54</v>
      </c>
      <c r="F943">
        <v>40076.36</v>
      </c>
    </row>
    <row r="944" spans="1:6" x14ac:dyDescent="0.3">
      <c r="A944">
        <v>2023</v>
      </c>
      <c r="B944">
        <v>12</v>
      </c>
      <c r="C944" t="s">
        <v>45</v>
      </c>
      <c r="D944" t="s">
        <v>48</v>
      </c>
      <c r="E944" t="s">
        <v>54</v>
      </c>
      <c r="F944">
        <v>13206.31</v>
      </c>
    </row>
    <row r="945" spans="1:6" x14ac:dyDescent="0.3">
      <c r="A945">
        <v>2023</v>
      </c>
      <c r="B945">
        <v>12</v>
      </c>
      <c r="C945" t="s">
        <v>37</v>
      </c>
      <c r="D945" t="s">
        <v>48</v>
      </c>
      <c r="E945" t="s">
        <v>55</v>
      </c>
      <c r="F945">
        <v>55087.81</v>
      </c>
    </row>
    <row r="946" spans="1:6" x14ac:dyDescent="0.3">
      <c r="A946">
        <v>2023</v>
      </c>
      <c r="B946">
        <v>12</v>
      </c>
      <c r="C946" t="s">
        <v>40</v>
      </c>
      <c r="D946" t="s">
        <v>48</v>
      </c>
      <c r="E946" t="s">
        <v>55</v>
      </c>
      <c r="F946">
        <v>31197.63</v>
      </c>
    </row>
    <row r="947" spans="1:6" x14ac:dyDescent="0.3">
      <c r="A947">
        <v>2023</v>
      </c>
      <c r="B947">
        <v>12</v>
      </c>
      <c r="C947" t="s">
        <v>41</v>
      </c>
      <c r="D947" t="s">
        <v>48</v>
      </c>
      <c r="E947" t="s">
        <v>55</v>
      </c>
      <c r="F947">
        <v>117483.33</v>
      </c>
    </row>
    <row r="948" spans="1:6" x14ac:dyDescent="0.3">
      <c r="A948">
        <v>2023</v>
      </c>
      <c r="B948">
        <v>12</v>
      </c>
      <c r="C948" t="s">
        <v>42</v>
      </c>
      <c r="D948" t="s">
        <v>48</v>
      </c>
      <c r="E948" t="s">
        <v>55</v>
      </c>
      <c r="F948">
        <v>60163.58</v>
      </c>
    </row>
    <row r="949" spans="1:6" x14ac:dyDescent="0.3">
      <c r="A949">
        <v>2023</v>
      </c>
      <c r="B949">
        <v>12</v>
      </c>
      <c r="C949" t="s">
        <v>43</v>
      </c>
      <c r="D949" t="s">
        <v>48</v>
      </c>
      <c r="E949" t="s">
        <v>55</v>
      </c>
      <c r="F949">
        <v>17485.599999999999</v>
      </c>
    </row>
    <row r="950" spans="1:6" x14ac:dyDescent="0.3">
      <c r="A950">
        <v>2023</v>
      </c>
      <c r="B950">
        <v>12</v>
      </c>
      <c r="C950" t="s">
        <v>44</v>
      </c>
      <c r="D950" t="s">
        <v>48</v>
      </c>
      <c r="E950" t="s">
        <v>55</v>
      </c>
      <c r="F950">
        <v>100609.82</v>
      </c>
    </row>
    <row r="951" spans="1:6" x14ac:dyDescent="0.3">
      <c r="A951">
        <v>2023</v>
      </c>
      <c r="B951">
        <v>12</v>
      </c>
      <c r="C951" t="s">
        <v>45</v>
      </c>
      <c r="D951" t="s">
        <v>48</v>
      </c>
      <c r="E951" t="s">
        <v>55</v>
      </c>
      <c r="F951">
        <v>56545.9</v>
      </c>
    </row>
    <row r="952" spans="1:6" x14ac:dyDescent="0.3">
      <c r="A952">
        <v>2023</v>
      </c>
      <c r="B952">
        <v>12</v>
      </c>
      <c r="C952" t="s">
        <v>37</v>
      </c>
      <c r="D952" t="s">
        <v>48</v>
      </c>
      <c r="E952" t="s">
        <v>56</v>
      </c>
      <c r="F952">
        <v>96940.23</v>
      </c>
    </row>
    <row r="953" spans="1:6" x14ac:dyDescent="0.3">
      <c r="A953">
        <v>2023</v>
      </c>
      <c r="B953">
        <v>12</v>
      </c>
      <c r="C953" t="s">
        <v>40</v>
      </c>
      <c r="D953" t="s">
        <v>48</v>
      </c>
      <c r="E953" t="s">
        <v>56</v>
      </c>
      <c r="F953">
        <v>45781.83</v>
      </c>
    </row>
    <row r="954" spans="1:6" x14ac:dyDescent="0.3">
      <c r="A954">
        <v>2023</v>
      </c>
      <c r="B954">
        <v>12</v>
      </c>
      <c r="C954" t="s">
        <v>41</v>
      </c>
      <c r="D954" t="s">
        <v>48</v>
      </c>
      <c r="E954" t="s">
        <v>56</v>
      </c>
      <c r="F954">
        <v>49062.7</v>
      </c>
    </row>
    <row r="955" spans="1:6" x14ac:dyDescent="0.3">
      <c r="A955">
        <v>2023</v>
      </c>
      <c r="B955">
        <v>12</v>
      </c>
      <c r="C955" t="s">
        <v>42</v>
      </c>
      <c r="D955" t="s">
        <v>48</v>
      </c>
      <c r="E955" t="s">
        <v>56</v>
      </c>
      <c r="F955">
        <v>116925.28</v>
      </c>
    </row>
    <row r="956" spans="1:6" x14ac:dyDescent="0.3">
      <c r="A956">
        <v>2023</v>
      </c>
      <c r="B956">
        <v>12</v>
      </c>
      <c r="C956" t="s">
        <v>43</v>
      </c>
      <c r="D956" t="s">
        <v>48</v>
      </c>
      <c r="E956" t="s">
        <v>56</v>
      </c>
      <c r="F956">
        <v>85689.09</v>
      </c>
    </row>
    <row r="957" spans="1:6" x14ac:dyDescent="0.3">
      <c r="A957">
        <v>2023</v>
      </c>
      <c r="B957">
        <v>12</v>
      </c>
      <c r="C957" t="s">
        <v>44</v>
      </c>
      <c r="D957" t="s">
        <v>48</v>
      </c>
      <c r="E957" t="s">
        <v>56</v>
      </c>
      <c r="F957">
        <v>70347.539999999994</v>
      </c>
    </row>
    <row r="958" spans="1:6" x14ac:dyDescent="0.3">
      <c r="A958">
        <v>2023</v>
      </c>
      <c r="B958">
        <v>12</v>
      </c>
      <c r="C958" t="s">
        <v>45</v>
      </c>
      <c r="D958" t="s">
        <v>48</v>
      </c>
      <c r="E958" t="s">
        <v>56</v>
      </c>
      <c r="F958">
        <v>82299.539999999994</v>
      </c>
    </row>
    <row r="959" spans="1:6" x14ac:dyDescent="0.3">
      <c r="A959">
        <v>2023</v>
      </c>
      <c r="B959">
        <v>12</v>
      </c>
      <c r="C959" t="s">
        <v>37</v>
      </c>
      <c r="D959" t="s">
        <v>57</v>
      </c>
      <c r="E959" t="s">
        <v>58</v>
      </c>
      <c r="F959">
        <v>68016.850000000006</v>
      </c>
    </row>
    <row r="960" spans="1:6" x14ac:dyDescent="0.3">
      <c r="A960">
        <v>2023</v>
      </c>
      <c r="B960">
        <v>12</v>
      </c>
      <c r="C960" t="s">
        <v>37</v>
      </c>
      <c r="D960" t="s">
        <v>57</v>
      </c>
      <c r="E960" t="s">
        <v>59</v>
      </c>
      <c r="F960">
        <v>87014.88</v>
      </c>
    </row>
    <row r="961" spans="1:6" x14ac:dyDescent="0.3">
      <c r="A961">
        <v>2023</v>
      </c>
      <c r="B961">
        <v>12</v>
      </c>
      <c r="C961" t="s">
        <v>37</v>
      </c>
      <c r="D961" t="s">
        <v>57</v>
      </c>
      <c r="E961" t="s">
        <v>60</v>
      </c>
      <c r="F961">
        <v>24641.38</v>
      </c>
    </row>
    <row r="962" spans="1:6" x14ac:dyDescent="0.3">
      <c r="A962">
        <v>2024</v>
      </c>
      <c r="B962">
        <v>1</v>
      </c>
      <c r="C962" t="s">
        <v>37</v>
      </c>
      <c r="D962" t="s">
        <v>38</v>
      </c>
      <c r="E962" t="s">
        <v>39</v>
      </c>
      <c r="F962">
        <v>75428.13</v>
      </c>
    </row>
    <row r="963" spans="1:6" x14ac:dyDescent="0.3">
      <c r="A963">
        <v>2024</v>
      </c>
      <c r="B963">
        <v>1</v>
      </c>
      <c r="C963" t="s">
        <v>40</v>
      </c>
      <c r="D963" t="s">
        <v>38</v>
      </c>
      <c r="E963" t="s">
        <v>39</v>
      </c>
      <c r="F963">
        <v>20658.71</v>
      </c>
    </row>
    <row r="964" spans="1:6" x14ac:dyDescent="0.3">
      <c r="A964">
        <v>2024</v>
      </c>
      <c r="B964">
        <v>1</v>
      </c>
      <c r="C964" t="s">
        <v>41</v>
      </c>
      <c r="D964" t="s">
        <v>38</v>
      </c>
      <c r="E964" t="s">
        <v>39</v>
      </c>
      <c r="F964">
        <v>20055.060000000001</v>
      </c>
    </row>
    <row r="965" spans="1:6" x14ac:dyDescent="0.3">
      <c r="A965">
        <v>2024</v>
      </c>
      <c r="B965">
        <v>1</v>
      </c>
      <c r="C965" t="s">
        <v>42</v>
      </c>
      <c r="D965" t="s">
        <v>38</v>
      </c>
      <c r="E965" t="s">
        <v>39</v>
      </c>
      <c r="F965">
        <v>39125.620000000003</v>
      </c>
    </row>
    <row r="966" spans="1:6" x14ac:dyDescent="0.3">
      <c r="A966">
        <v>2024</v>
      </c>
      <c r="B966">
        <v>1</v>
      </c>
      <c r="C966" t="s">
        <v>43</v>
      </c>
      <c r="D966" t="s">
        <v>38</v>
      </c>
      <c r="E966" t="s">
        <v>39</v>
      </c>
      <c r="F966">
        <v>87195.41</v>
      </c>
    </row>
    <row r="967" spans="1:6" x14ac:dyDescent="0.3">
      <c r="A967">
        <v>2024</v>
      </c>
      <c r="B967">
        <v>1</v>
      </c>
      <c r="C967" t="s">
        <v>44</v>
      </c>
      <c r="D967" t="s">
        <v>38</v>
      </c>
      <c r="E967" t="s">
        <v>39</v>
      </c>
      <c r="F967">
        <v>71067.649999999994</v>
      </c>
    </row>
    <row r="968" spans="1:6" x14ac:dyDescent="0.3">
      <c r="A968">
        <v>2024</v>
      </c>
      <c r="B968">
        <v>1</v>
      </c>
      <c r="C968" t="s">
        <v>45</v>
      </c>
      <c r="D968" t="s">
        <v>38</v>
      </c>
      <c r="E968" t="s">
        <v>39</v>
      </c>
      <c r="F968">
        <v>49678.34</v>
      </c>
    </row>
    <row r="969" spans="1:6" x14ac:dyDescent="0.3">
      <c r="A969">
        <v>2024</v>
      </c>
      <c r="B969">
        <v>1</v>
      </c>
      <c r="C969" t="s">
        <v>37</v>
      </c>
      <c r="D969" t="s">
        <v>38</v>
      </c>
      <c r="E969" t="s">
        <v>46</v>
      </c>
      <c r="F969">
        <v>112684.85</v>
      </c>
    </row>
    <row r="970" spans="1:6" x14ac:dyDescent="0.3">
      <c r="A970">
        <v>2024</v>
      </c>
      <c r="B970">
        <v>1</v>
      </c>
      <c r="C970" t="s">
        <v>40</v>
      </c>
      <c r="D970" t="s">
        <v>38</v>
      </c>
      <c r="E970" t="s">
        <v>46</v>
      </c>
      <c r="F970">
        <v>28265.62</v>
      </c>
    </row>
    <row r="971" spans="1:6" x14ac:dyDescent="0.3">
      <c r="A971">
        <v>2024</v>
      </c>
      <c r="B971">
        <v>1</v>
      </c>
      <c r="C971" t="s">
        <v>41</v>
      </c>
      <c r="D971" t="s">
        <v>38</v>
      </c>
      <c r="E971" t="s">
        <v>46</v>
      </c>
      <c r="F971">
        <v>27031.94</v>
      </c>
    </row>
    <row r="972" spans="1:6" x14ac:dyDescent="0.3">
      <c r="A972">
        <v>2024</v>
      </c>
      <c r="B972">
        <v>1</v>
      </c>
      <c r="C972" t="s">
        <v>42</v>
      </c>
      <c r="D972" t="s">
        <v>38</v>
      </c>
      <c r="E972" t="s">
        <v>46</v>
      </c>
      <c r="F972">
        <v>56621.48</v>
      </c>
    </row>
    <row r="973" spans="1:6" x14ac:dyDescent="0.3">
      <c r="A973">
        <v>2024</v>
      </c>
      <c r="B973">
        <v>1</v>
      </c>
      <c r="C973" t="s">
        <v>43</v>
      </c>
      <c r="D973" t="s">
        <v>38</v>
      </c>
      <c r="E973" t="s">
        <v>46</v>
      </c>
      <c r="F973">
        <v>103612.04</v>
      </c>
    </row>
    <row r="974" spans="1:6" x14ac:dyDescent="0.3">
      <c r="A974">
        <v>2024</v>
      </c>
      <c r="B974">
        <v>1</v>
      </c>
      <c r="C974" t="s">
        <v>44</v>
      </c>
      <c r="D974" t="s">
        <v>38</v>
      </c>
      <c r="E974" t="s">
        <v>46</v>
      </c>
      <c r="F974">
        <v>100802.48</v>
      </c>
    </row>
    <row r="975" spans="1:6" x14ac:dyDescent="0.3">
      <c r="A975">
        <v>2024</v>
      </c>
      <c r="B975">
        <v>1</v>
      </c>
      <c r="C975" t="s">
        <v>45</v>
      </c>
      <c r="D975" t="s">
        <v>38</v>
      </c>
      <c r="E975" t="s">
        <v>46</v>
      </c>
      <c r="F975">
        <v>100468.85</v>
      </c>
    </row>
    <row r="976" spans="1:6" x14ac:dyDescent="0.3">
      <c r="A976">
        <v>2024</v>
      </c>
      <c r="B976">
        <v>1</v>
      </c>
      <c r="C976" t="s">
        <v>37</v>
      </c>
      <c r="D976" t="s">
        <v>38</v>
      </c>
      <c r="E976" t="s">
        <v>47</v>
      </c>
      <c r="F976">
        <v>98307.89</v>
      </c>
    </row>
    <row r="977" spans="1:6" x14ac:dyDescent="0.3">
      <c r="A977">
        <v>2024</v>
      </c>
      <c r="B977">
        <v>1</v>
      </c>
      <c r="C977" t="s">
        <v>40</v>
      </c>
      <c r="D977" t="s">
        <v>38</v>
      </c>
      <c r="E977" t="s">
        <v>47</v>
      </c>
      <c r="F977">
        <v>85827.37</v>
      </c>
    </row>
    <row r="978" spans="1:6" x14ac:dyDescent="0.3">
      <c r="A978">
        <v>2024</v>
      </c>
      <c r="B978">
        <v>1</v>
      </c>
      <c r="C978" t="s">
        <v>41</v>
      </c>
      <c r="D978" t="s">
        <v>38</v>
      </c>
      <c r="E978" t="s">
        <v>47</v>
      </c>
      <c r="F978">
        <v>33098.339999999997</v>
      </c>
    </row>
    <row r="979" spans="1:6" x14ac:dyDescent="0.3">
      <c r="A979">
        <v>2024</v>
      </c>
      <c r="B979">
        <v>1</v>
      </c>
      <c r="C979" t="s">
        <v>42</v>
      </c>
      <c r="D979" t="s">
        <v>38</v>
      </c>
      <c r="E979" t="s">
        <v>47</v>
      </c>
      <c r="F979">
        <v>18292.61</v>
      </c>
    </row>
    <row r="980" spans="1:6" x14ac:dyDescent="0.3">
      <c r="A980">
        <v>2024</v>
      </c>
      <c r="B980">
        <v>1</v>
      </c>
      <c r="C980" t="s">
        <v>43</v>
      </c>
      <c r="D980" t="s">
        <v>38</v>
      </c>
      <c r="E980" t="s">
        <v>47</v>
      </c>
      <c r="F980">
        <v>90801.41</v>
      </c>
    </row>
    <row r="981" spans="1:6" x14ac:dyDescent="0.3">
      <c r="A981">
        <v>2024</v>
      </c>
      <c r="B981">
        <v>1</v>
      </c>
      <c r="C981" t="s">
        <v>44</v>
      </c>
      <c r="D981" t="s">
        <v>38</v>
      </c>
      <c r="E981" t="s">
        <v>47</v>
      </c>
      <c r="F981">
        <v>31065.43</v>
      </c>
    </row>
    <row r="982" spans="1:6" x14ac:dyDescent="0.3">
      <c r="A982">
        <v>2024</v>
      </c>
      <c r="B982">
        <v>1</v>
      </c>
      <c r="C982" t="s">
        <v>45</v>
      </c>
      <c r="D982" t="s">
        <v>38</v>
      </c>
      <c r="E982" t="s">
        <v>47</v>
      </c>
      <c r="F982">
        <v>100340.72</v>
      </c>
    </row>
    <row r="983" spans="1:6" x14ac:dyDescent="0.3">
      <c r="A983">
        <v>2024</v>
      </c>
      <c r="B983">
        <v>1</v>
      </c>
      <c r="C983" t="s">
        <v>37</v>
      </c>
      <c r="D983" t="s">
        <v>48</v>
      </c>
      <c r="E983" t="s">
        <v>49</v>
      </c>
      <c r="F983">
        <v>99547.87</v>
      </c>
    </row>
    <row r="984" spans="1:6" x14ac:dyDescent="0.3">
      <c r="A984">
        <v>2024</v>
      </c>
      <c r="B984">
        <v>1</v>
      </c>
      <c r="C984" t="s">
        <v>40</v>
      </c>
      <c r="D984" t="s">
        <v>48</v>
      </c>
      <c r="E984" t="s">
        <v>49</v>
      </c>
      <c r="F984">
        <v>116425.26</v>
      </c>
    </row>
    <row r="985" spans="1:6" x14ac:dyDescent="0.3">
      <c r="A985">
        <v>2024</v>
      </c>
      <c r="B985">
        <v>1</v>
      </c>
      <c r="C985" t="s">
        <v>41</v>
      </c>
      <c r="D985" t="s">
        <v>48</v>
      </c>
      <c r="E985" t="s">
        <v>49</v>
      </c>
      <c r="F985">
        <v>49652.89</v>
      </c>
    </row>
    <row r="986" spans="1:6" x14ac:dyDescent="0.3">
      <c r="A986">
        <v>2024</v>
      </c>
      <c r="B986">
        <v>1</v>
      </c>
      <c r="C986" t="s">
        <v>42</v>
      </c>
      <c r="D986" t="s">
        <v>48</v>
      </c>
      <c r="E986" t="s">
        <v>49</v>
      </c>
      <c r="F986">
        <v>88696.5</v>
      </c>
    </row>
    <row r="987" spans="1:6" x14ac:dyDescent="0.3">
      <c r="A987">
        <v>2024</v>
      </c>
      <c r="B987">
        <v>1</v>
      </c>
      <c r="C987" t="s">
        <v>43</v>
      </c>
      <c r="D987" t="s">
        <v>48</v>
      </c>
      <c r="E987" t="s">
        <v>49</v>
      </c>
      <c r="F987">
        <v>116423.57</v>
      </c>
    </row>
    <row r="988" spans="1:6" x14ac:dyDescent="0.3">
      <c r="A988">
        <v>2024</v>
      </c>
      <c r="B988">
        <v>1</v>
      </c>
      <c r="C988" t="s">
        <v>44</v>
      </c>
      <c r="D988" t="s">
        <v>48</v>
      </c>
      <c r="E988" t="s">
        <v>49</v>
      </c>
      <c r="F988">
        <v>85473.83</v>
      </c>
    </row>
    <row r="989" spans="1:6" x14ac:dyDescent="0.3">
      <c r="A989">
        <v>2024</v>
      </c>
      <c r="B989">
        <v>1</v>
      </c>
      <c r="C989" t="s">
        <v>45</v>
      </c>
      <c r="D989" t="s">
        <v>48</v>
      </c>
      <c r="E989" t="s">
        <v>49</v>
      </c>
      <c r="F989">
        <v>10958</v>
      </c>
    </row>
    <row r="990" spans="1:6" x14ac:dyDescent="0.3">
      <c r="A990">
        <v>2024</v>
      </c>
      <c r="B990">
        <v>1</v>
      </c>
      <c r="C990" t="s">
        <v>37</v>
      </c>
      <c r="D990" t="s">
        <v>48</v>
      </c>
      <c r="E990" t="s">
        <v>50</v>
      </c>
      <c r="F990">
        <v>27692.82</v>
      </c>
    </row>
    <row r="991" spans="1:6" x14ac:dyDescent="0.3">
      <c r="A991">
        <v>2024</v>
      </c>
      <c r="B991">
        <v>1</v>
      </c>
      <c r="C991" t="s">
        <v>40</v>
      </c>
      <c r="D991" t="s">
        <v>48</v>
      </c>
      <c r="E991" t="s">
        <v>50</v>
      </c>
      <c r="F991">
        <v>16255.64</v>
      </c>
    </row>
    <row r="992" spans="1:6" x14ac:dyDescent="0.3">
      <c r="A992">
        <v>2024</v>
      </c>
      <c r="B992">
        <v>1</v>
      </c>
      <c r="C992" t="s">
        <v>41</v>
      </c>
      <c r="D992" t="s">
        <v>48</v>
      </c>
      <c r="E992" t="s">
        <v>50</v>
      </c>
      <c r="F992">
        <v>80068.62</v>
      </c>
    </row>
    <row r="993" spans="1:6" x14ac:dyDescent="0.3">
      <c r="A993">
        <v>2024</v>
      </c>
      <c r="B993">
        <v>1</v>
      </c>
      <c r="C993" t="s">
        <v>42</v>
      </c>
      <c r="D993" t="s">
        <v>48</v>
      </c>
      <c r="E993" t="s">
        <v>50</v>
      </c>
      <c r="F993">
        <v>92308.91</v>
      </c>
    </row>
    <row r="994" spans="1:6" x14ac:dyDescent="0.3">
      <c r="A994">
        <v>2024</v>
      </c>
      <c r="B994">
        <v>1</v>
      </c>
      <c r="C994" t="s">
        <v>43</v>
      </c>
      <c r="D994" t="s">
        <v>48</v>
      </c>
      <c r="E994" t="s">
        <v>50</v>
      </c>
      <c r="F994">
        <v>119643.59</v>
      </c>
    </row>
    <row r="995" spans="1:6" x14ac:dyDescent="0.3">
      <c r="A995">
        <v>2024</v>
      </c>
      <c r="B995">
        <v>1</v>
      </c>
      <c r="C995" t="s">
        <v>44</v>
      </c>
      <c r="D995" t="s">
        <v>48</v>
      </c>
      <c r="E995" t="s">
        <v>50</v>
      </c>
      <c r="F995">
        <v>91049.06</v>
      </c>
    </row>
    <row r="996" spans="1:6" x14ac:dyDescent="0.3">
      <c r="A996">
        <v>2024</v>
      </c>
      <c r="B996">
        <v>1</v>
      </c>
      <c r="C996" t="s">
        <v>45</v>
      </c>
      <c r="D996" t="s">
        <v>48</v>
      </c>
      <c r="E996" t="s">
        <v>50</v>
      </c>
      <c r="F996">
        <v>87135.51</v>
      </c>
    </row>
    <row r="997" spans="1:6" x14ac:dyDescent="0.3">
      <c r="A997">
        <v>2024</v>
      </c>
      <c r="B997">
        <v>1</v>
      </c>
      <c r="C997" t="s">
        <v>37</v>
      </c>
      <c r="D997" t="s">
        <v>48</v>
      </c>
      <c r="E997" t="s">
        <v>51</v>
      </c>
      <c r="F997">
        <v>21581.03</v>
      </c>
    </row>
    <row r="998" spans="1:6" x14ac:dyDescent="0.3">
      <c r="A998">
        <v>2024</v>
      </c>
      <c r="B998">
        <v>1</v>
      </c>
      <c r="C998" t="s">
        <v>40</v>
      </c>
      <c r="D998" t="s">
        <v>48</v>
      </c>
      <c r="E998" t="s">
        <v>51</v>
      </c>
      <c r="F998">
        <v>39789.300000000003</v>
      </c>
    </row>
    <row r="999" spans="1:6" x14ac:dyDescent="0.3">
      <c r="A999">
        <v>2024</v>
      </c>
      <c r="B999">
        <v>1</v>
      </c>
      <c r="C999" t="s">
        <v>41</v>
      </c>
      <c r="D999" t="s">
        <v>48</v>
      </c>
      <c r="E999" t="s">
        <v>51</v>
      </c>
      <c r="F999">
        <v>80408.55</v>
      </c>
    </row>
    <row r="1000" spans="1:6" x14ac:dyDescent="0.3">
      <c r="A1000">
        <v>2024</v>
      </c>
      <c r="B1000">
        <v>1</v>
      </c>
      <c r="C1000" t="s">
        <v>42</v>
      </c>
      <c r="D1000" t="s">
        <v>48</v>
      </c>
      <c r="E1000" t="s">
        <v>51</v>
      </c>
      <c r="F1000">
        <v>24969.81</v>
      </c>
    </row>
    <row r="1001" spans="1:6" x14ac:dyDescent="0.3">
      <c r="A1001">
        <v>2024</v>
      </c>
      <c r="B1001">
        <v>1</v>
      </c>
      <c r="C1001" t="s">
        <v>43</v>
      </c>
      <c r="D1001" t="s">
        <v>48</v>
      </c>
      <c r="E1001" t="s">
        <v>51</v>
      </c>
      <c r="F1001">
        <v>23997.759999999998</v>
      </c>
    </row>
    <row r="1002" spans="1:6" x14ac:dyDescent="0.3">
      <c r="A1002">
        <v>2024</v>
      </c>
      <c r="B1002">
        <v>1</v>
      </c>
      <c r="C1002" t="s">
        <v>44</v>
      </c>
      <c r="D1002" t="s">
        <v>48</v>
      </c>
      <c r="E1002" t="s">
        <v>51</v>
      </c>
      <c r="F1002">
        <v>66965.87</v>
      </c>
    </row>
    <row r="1003" spans="1:6" x14ac:dyDescent="0.3">
      <c r="A1003">
        <v>2024</v>
      </c>
      <c r="B1003">
        <v>1</v>
      </c>
      <c r="C1003" t="s">
        <v>45</v>
      </c>
      <c r="D1003" t="s">
        <v>48</v>
      </c>
      <c r="E1003" t="s">
        <v>51</v>
      </c>
      <c r="F1003">
        <v>110072.17</v>
      </c>
    </row>
    <row r="1004" spans="1:6" x14ac:dyDescent="0.3">
      <c r="A1004">
        <v>2024</v>
      </c>
      <c r="B1004">
        <v>1</v>
      </c>
      <c r="C1004" t="s">
        <v>37</v>
      </c>
      <c r="D1004" t="s">
        <v>48</v>
      </c>
      <c r="E1004" t="s">
        <v>52</v>
      </c>
      <c r="F1004">
        <v>56860.55</v>
      </c>
    </row>
    <row r="1005" spans="1:6" x14ac:dyDescent="0.3">
      <c r="A1005">
        <v>2024</v>
      </c>
      <c r="B1005">
        <v>1</v>
      </c>
      <c r="C1005" t="s">
        <v>40</v>
      </c>
      <c r="D1005" t="s">
        <v>48</v>
      </c>
      <c r="E1005" t="s">
        <v>52</v>
      </c>
      <c r="F1005">
        <v>98667.19</v>
      </c>
    </row>
    <row r="1006" spans="1:6" x14ac:dyDescent="0.3">
      <c r="A1006">
        <v>2024</v>
      </c>
      <c r="B1006">
        <v>1</v>
      </c>
      <c r="C1006" t="s">
        <v>41</v>
      </c>
      <c r="D1006" t="s">
        <v>48</v>
      </c>
      <c r="E1006" t="s">
        <v>52</v>
      </c>
      <c r="F1006">
        <v>91070.59</v>
      </c>
    </row>
    <row r="1007" spans="1:6" x14ac:dyDescent="0.3">
      <c r="A1007">
        <v>2024</v>
      </c>
      <c r="B1007">
        <v>1</v>
      </c>
      <c r="C1007" t="s">
        <v>42</v>
      </c>
      <c r="D1007" t="s">
        <v>48</v>
      </c>
      <c r="E1007" t="s">
        <v>52</v>
      </c>
      <c r="F1007">
        <v>21953.46</v>
      </c>
    </row>
    <row r="1008" spans="1:6" x14ac:dyDescent="0.3">
      <c r="A1008">
        <v>2024</v>
      </c>
      <c r="B1008">
        <v>1</v>
      </c>
      <c r="C1008" t="s">
        <v>43</v>
      </c>
      <c r="D1008" t="s">
        <v>48</v>
      </c>
      <c r="E1008" t="s">
        <v>52</v>
      </c>
      <c r="F1008">
        <v>39668.269999999997</v>
      </c>
    </row>
    <row r="1009" spans="1:6" x14ac:dyDescent="0.3">
      <c r="A1009">
        <v>2024</v>
      </c>
      <c r="B1009">
        <v>1</v>
      </c>
      <c r="C1009" t="s">
        <v>44</v>
      </c>
      <c r="D1009" t="s">
        <v>48</v>
      </c>
      <c r="E1009" t="s">
        <v>52</v>
      </c>
      <c r="F1009">
        <v>15012.83</v>
      </c>
    </row>
    <row r="1010" spans="1:6" x14ac:dyDescent="0.3">
      <c r="A1010">
        <v>2024</v>
      </c>
      <c r="B1010">
        <v>1</v>
      </c>
      <c r="C1010" t="s">
        <v>45</v>
      </c>
      <c r="D1010" t="s">
        <v>48</v>
      </c>
      <c r="E1010" t="s">
        <v>52</v>
      </c>
      <c r="F1010">
        <v>13731.63</v>
      </c>
    </row>
    <row r="1011" spans="1:6" x14ac:dyDescent="0.3">
      <c r="A1011">
        <v>2024</v>
      </c>
      <c r="B1011">
        <v>1</v>
      </c>
      <c r="C1011" t="s">
        <v>37</v>
      </c>
      <c r="D1011" t="s">
        <v>48</v>
      </c>
      <c r="E1011" t="s">
        <v>53</v>
      </c>
      <c r="F1011">
        <v>38723.4</v>
      </c>
    </row>
    <row r="1012" spans="1:6" x14ac:dyDescent="0.3">
      <c r="A1012">
        <v>2024</v>
      </c>
      <c r="B1012">
        <v>1</v>
      </c>
      <c r="C1012" t="s">
        <v>40</v>
      </c>
      <c r="D1012" t="s">
        <v>48</v>
      </c>
      <c r="E1012" t="s">
        <v>53</v>
      </c>
      <c r="F1012">
        <v>18874.11</v>
      </c>
    </row>
    <row r="1013" spans="1:6" x14ac:dyDescent="0.3">
      <c r="A1013">
        <v>2024</v>
      </c>
      <c r="B1013">
        <v>1</v>
      </c>
      <c r="C1013" t="s">
        <v>41</v>
      </c>
      <c r="D1013" t="s">
        <v>48</v>
      </c>
      <c r="E1013" t="s">
        <v>53</v>
      </c>
      <c r="F1013">
        <v>100378.09</v>
      </c>
    </row>
    <row r="1014" spans="1:6" x14ac:dyDescent="0.3">
      <c r="A1014">
        <v>2024</v>
      </c>
      <c r="B1014">
        <v>1</v>
      </c>
      <c r="C1014" t="s">
        <v>42</v>
      </c>
      <c r="D1014" t="s">
        <v>48</v>
      </c>
      <c r="E1014" t="s">
        <v>53</v>
      </c>
      <c r="F1014">
        <v>81938.44</v>
      </c>
    </row>
    <row r="1015" spans="1:6" x14ac:dyDescent="0.3">
      <c r="A1015">
        <v>2024</v>
      </c>
      <c r="B1015">
        <v>1</v>
      </c>
      <c r="C1015" t="s">
        <v>43</v>
      </c>
      <c r="D1015" t="s">
        <v>48</v>
      </c>
      <c r="E1015" t="s">
        <v>53</v>
      </c>
      <c r="F1015">
        <v>33061.96</v>
      </c>
    </row>
    <row r="1016" spans="1:6" x14ac:dyDescent="0.3">
      <c r="A1016">
        <v>2024</v>
      </c>
      <c r="B1016">
        <v>1</v>
      </c>
      <c r="C1016" t="s">
        <v>44</v>
      </c>
      <c r="D1016" t="s">
        <v>48</v>
      </c>
      <c r="E1016" t="s">
        <v>53</v>
      </c>
      <c r="F1016">
        <v>86303.09</v>
      </c>
    </row>
    <row r="1017" spans="1:6" x14ac:dyDescent="0.3">
      <c r="A1017">
        <v>2024</v>
      </c>
      <c r="B1017">
        <v>1</v>
      </c>
      <c r="C1017" t="s">
        <v>45</v>
      </c>
      <c r="D1017" t="s">
        <v>48</v>
      </c>
      <c r="E1017" t="s">
        <v>53</v>
      </c>
      <c r="F1017">
        <v>49394.14</v>
      </c>
    </row>
    <row r="1018" spans="1:6" x14ac:dyDescent="0.3">
      <c r="A1018">
        <v>2024</v>
      </c>
      <c r="B1018">
        <v>1</v>
      </c>
      <c r="C1018" t="s">
        <v>37</v>
      </c>
      <c r="D1018" t="s">
        <v>48</v>
      </c>
      <c r="E1018" t="s">
        <v>54</v>
      </c>
      <c r="F1018">
        <v>41076.089999999997</v>
      </c>
    </row>
    <row r="1019" spans="1:6" x14ac:dyDescent="0.3">
      <c r="A1019">
        <v>2024</v>
      </c>
      <c r="B1019">
        <v>1</v>
      </c>
      <c r="C1019" t="s">
        <v>40</v>
      </c>
      <c r="D1019" t="s">
        <v>48</v>
      </c>
      <c r="E1019" t="s">
        <v>54</v>
      </c>
      <c r="F1019">
        <v>36623.620000000003</v>
      </c>
    </row>
    <row r="1020" spans="1:6" x14ac:dyDescent="0.3">
      <c r="A1020">
        <v>2024</v>
      </c>
      <c r="B1020">
        <v>1</v>
      </c>
      <c r="C1020" t="s">
        <v>41</v>
      </c>
      <c r="D1020" t="s">
        <v>48</v>
      </c>
      <c r="E1020" t="s">
        <v>54</v>
      </c>
      <c r="F1020">
        <v>101956.4</v>
      </c>
    </row>
    <row r="1021" spans="1:6" x14ac:dyDescent="0.3">
      <c r="A1021">
        <v>2024</v>
      </c>
      <c r="B1021">
        <v>1</v>
      </c>
      <c r="C1021" t="s">
        <v>42</v>
      </c>
      <c r="D1021" t="s">
        <v>48</v>
      </c>
      <c r="E1021" t="s">
        <v>54</v>
      </c>
      <c r="F1021">
        <v>32018.3</v>
      </c>
    </row>
    <row r="1022" spans="1:6" x14ac:dyDescent="0.3">
      <c r="A1022">
        <v>2024</v>
      </c>
      <c r="B1022">
        <v>1</v>
      </c>
      <c r="C1022" t="s">
        <v>43</v>
      </c>
      <c r="D1022" t="s">
        <v>48</v>
      </c>
      <c r="E1022" t="s">
        <v>54</v>
      </c>
      <c r="F1022">
        <v>116834.89</v>
      </c>
    </row>
    <row r="1023" spans="1:6" x14ac:dyDescent="0.3">
      <c r="A1023">
        <v>2024</v>
      </c>
      <c r="B1023">
        <v>1</v>
      </c>
      <c r="C1023" t="s">
        <v>44</v>
      </c>
      <c r="D1023" t="s">
        <v>48</v>
      </c>
      <c r="E1023" t="s">
        <v>54</v>
      </c>
      <c r="F1023">
        <v>106348.47</v>
      </c>
    </row>
    <row r="1024" spans="1:6" x14ac:dyDescent="0.3">
      <c r="A1024">
        <v>2024</v>
      </c>
      <c r="B1024">
        <v>1</v>
      </c>
      <c r="C1024" t="s">
        <v>45</v>
      </c>
      <c r="D1024" t="s">
        <v>48</v>
      </c>
      <c r="E1024" t="s">
        <v>54</v>
      </c>
      <c r="F1024">
        <v>63066.6</v>
      </c>
    </row>
    <row r="1025" spans="1:6" x14ac:dyDescent="0.3">
      <c r="A1025">
        <v>2024</v>
      </c>
      <c r="B1025">
        <v>1</v>
      </c>
      <c r="C1025" t="s">
        <v>37</v>
      </c>
      <c r="D1025" t="s">
        <v>48</v>
      </c>
      <c r="E1025" t="s">
        <v>55</v>
      </c>
      <c r="F1025">
        <v>31081.42</v>
      </c>
    </row>
    <row r="1026" spans="1:6" x14ac:dyDescent="0.3">
      <c r="A1026">
        <v>2024</v>
      </c>
      <c r="B1026">
        <v>1</v>
      </c>
      <c r="C1026" t="s">
        <v>40</v>
      </c>
      <c r="D1026" t="s">
        <v>48</v>
      </c>
      <c r="E1026" t="s">
        <v>55</v>
      </c>
      <c r="F1026">
        <v>27001.27</v>
      </c>
    </row>
    <row r="1027" spans="1:6" x14ac:dyDescent="0.3">
      <c r="A1027">
        <v>2024</v>
      </c>
      <c r="B1027">
        <v>1</v>
      </c>
      <c r="C1027" t="s">
        <v>41</v>
      </c>
      <c r="D1027" t="s">
        <v>48</v>
      </c>
      <c r="E1027" t="s">
        <v>55</v>
      </c>
      <c r="F1027">
        <v>11273.83</v>
      </c>
    </row>
    <row r="1028" spans="1:6" x14ac:dyDescent="0.3">
      <c r="A1028">
        <v>2024</v>
      </c>
      <c r="B1028">
        <v>1</v>
      </c>
      <c r="C1028" t="s">
        <v>42</v>
      </c>
      <c r="D1028" t="s">
        <v>48</v>
      </c>
      <c r="E1028" t="s">
        <v>55</v>
      </c>
      <c r="F1028">
        <v>23191.1</v>
      </c>
    </row>
    <row r="1029" spans="1:6" x14ac:dyDescent="0.3">
      <c r="A1029">
        <v>2024</v>
      </c>
      <c r="B1029">
        <v>1</v>
      </c>
      <c r="C1029" t="s">
        <v>43</v>
      </c>
      <c r="D1029" t="s">
        <v>48</v>
      </c>
      <c r="E1029" t="s">
        <v>55</v>
      </c>
      <c r="F1029">
        <v>50561.84</v>
      </c>
    </row>
    <row r="1030" spans="1:6" x14ac:dyDescent="0.3">
      <c r="A1030">
        <v>2024</v>
      </c>
      <c r="B1030">
        <v>1</v>
      </c>
      <c r="C1030" t="s">
        <v>44</v>
      </c>
      <c r="D1030" t="s">
        <v>48</v>
      </c>
      <c r="E1030" t="s">
        <v>55</v>
      </c>
      <c r="F1030">
        <v>111866.3</v>
      </c>
    </row>
    <row r="1031" spans="1:6" x14ac:dyDescent="0.3">
      <c r="A1031">
        <v>2024</v>
      </c>
      <c r="B1031">
        <v>1</v>
      </c>
      <c r="C1031" t="s">
        <v>45</v>
      </c>
      <c r="D1031" t="s">
        <v>48</v>
      </c>
      <c r="E1031" t="s">
        <v>55</v>
      </c>
      <c r="F1031">
        <v>39099.760000000002</v>
      </c>
    </row>
    <row r="1032" spans="1:6" x14ac:dyDescent="0.3">
      <c r="A1032">
        <v>2024</v>
      </c>
      <c r="B1032">
        <v>1</v>
      </c>
      <c r="C1032" t="s">
        <v>37</v>
      </c>
      <c r="D1032" t="s">
        <v>48</v>
      </c>
      <c r="E1032" t="s">
        <v>56</v>
      </c>
      <c r="F1032">
        <v>36956.71</v>
      </c>
    </row>
    <row r="1033" spans="1:6" x14ac:dyDescent="0.3">
      <c r="A1033">
        <v>2024</v>
      </c>
      <c r="B1033">
        <v>1</v>
      </c>
      <c r="C1033" t="s">
        <v>40</v>
      </c>
      <c r="D1033" t="s">
        <v>48</v>
      </c>
      <c r="E1033" t="s">
        <v>56</v>
      </c>
      <c r="F1033">
        <v>13116.79</v>
      </c>
    </row>
    <row r="1034" spans="1:6" x14ac:dyDescent="0.3">
      <c r="A1034">
        <v>2024</v>
      </c>
      <c r="B1034">
        <v>1</v>
      </c>
      <c r="C1034" t="s">
        <v>41</v>
      </c>
      <c r="D1034" t="s">
        <v>48</v>
      </c>
      <c r="E1034" t="s">
        <v>56</v>
      </c>
      <c r="F1034">
        <v>32429.31</v>
      </c>
    </row>
    <row r="1035" spans="1:6" x14ac:dyDescent="0.3">
      <c r="A1035">
        <v>2024</v>
      </c>
      <c r="B1035">
        <v>1</v>
      </c>
      <c r="C1035" t="s">
        <v>42</v>
      </c>
      <c r="D1035" t="s">
        <v>48</v>
      </c>
      <c r="E1035" t="s">
        <v>56</v>
      </c>
      <c r="F1035">
        <v>83488.3</v>
      </c>
    </row>
    <row r="1036" spans="1:6" x14ac:dyDescent="0.3">
      <c r="A1036">
        <v>2024</v>
      </c>
      <c r="B1036">
        <v>1</v>
      </c>
      <c r="C1036" t="s">
        <v>43</v>
      </c>
      <c r="D1036" t="s">
        <v>48</v>
      </c>
      <c r="E1036" t="s">
        <v>56</v>
      </c>
      <c r="F1036">
        <v>99873.03</v>
      </c>
    </row>
    <row r="1037" spans="1:6" x14ac:dyDescent="0.3">
      <c r="A1037">
        <v>2024</v>
      </c>
      <c r="B1037">
        <v>1</v>
      </c>
      <c r="C1037" t="s">
        <v>44</v>
      </c>
      <c r="D1037" t="s">
        <v>48</v>
      </c>
      <c r="E1037" t="s">
        <v>56</v>
      </c>
      <c r="F1037">
        <v>83221.8</v>
      </c>
    </row>
    <row r="1038" spans="1:6" x14ac:dyDescent="0.3">
      <c r="A1038">
        <v>2024</v>
      </c>
      <c r="B1038">
        <v>1</v>
      </c>
      <c r="C1038" t="s">
        <v>45</v>
      </c>
      <c r="D1038" t="s">
        <v>48</v>
      </c>
      <c r="E1038" t="s">
        <v>56</v>
      </c>
      <c r="F1038">
        <v>98740.57</v>
      </c>
    </row>
    <row r="1039" spans="1:6" x14ac:dyDescent="0.3">
      <c r="A1039">
        <v>2024</v>
      </c>
      <c r="B1039">
        <v>1</v>
      </c>
      <c r="C1039" t="s">
        <v>37</v>
      </c>
      <c r="D1039" t="s">
        <v>57</v>
      </c>
      <c r="E1039" t="s">
        <v>58</v>
      </c>
      <c r="F1039">
        <v>143185.24</v>
      </c>
    </row>
    <row r="1040" spans="1:6" x14ac:dyDescent="0.3">
      <c r="A1040">
        <v>2024</v>
      </c>
      <c r="B1040">
        <v>1</v>
      </c>
      <c r="C1040" t="s">
        <v>37</v>
      </c>
      <c r="D1040" t="s">
        <v>57</v>
      </c>
      <c r="E1040" t="s">
        <v>59</v>
      </c>
      <c r="F1040">
        <v>25051.25</v>
      </c>
    </row>
    <row r="1041" spans="1:6" x14ac:dyDescent="0.3">
      <c r="A1041">
        <v>2024</v>
      </c>
      <c r="B1041">
        <v>1</v>
      </c>
      <c r="C1041" t="s">
        <v>37</v>
      </c>
      <c r="D1041" t="s">
        <v>57</v>
      </c>
      <c r="E1041" t="s">
        <v>60</v>
      </c>
      <c r="F1041">
        <v>53925.05</v>
      </c>
    </row>
    <row r="1042" spans="1:6" x14ac:dyDescent="0.3">
      <c r="A1042">
        <v>2024</v>
      </c>
      <c r="B1042">
        <v>2</v>
      </c>
      <c r="C1042" t="s">
        <v>37</v>
      </c>
      <c r="D1042" t="s">
        <v>38</v>
      </c>
      <c r="E1042" t="s">
        <v>39</v>
      </c>
      <c r="F1042">
        <v>98255.95</v>
      </c>
    </row>
    <row r="1043" spans="1:6" x14ac:dyDescent="0.3">
      <c r="A1043">
        <v>2024</v>
      </c>
      <c r="B1043">
        <v>2</v>
      </c>
      <c r="C1043" t="s">
        <v>40</v>
      </c>
      <c r="D1043" t="s">
        <v>38</v>
      </c>
      <c r="E1043" t="s">
        <v>39</v>
      </c>
      <c r="F1043">
        <v>57755.42</v>
      </c>
    </row>
    <row r="1044" spans="1:6" x14ac:dyDescent="0.3">
      <c r="A1044">
        <v>2024</v>
      </c>
      <c r="B1044">
        <v>2</v>
      </c>
      <c r="C1044" t="s">
        <v>41</v>
      </c>
      <c r="D1044" t="s">
        <v>38</v>
      </c>
      <c r="E1044" t="s">
        <v>39</v>
      </c>
      <c r="F1044">
        <v>35425.31</v>
      </c>
    </row>
    <row r="1045" spans="1:6" x14ac:dyDescent="0.3">
      <c r="A1045">
        <v>2024</v>
      </c>
      <c r="B1045">
        <v>2</v>
      </c>
      <c r="C1045" t="s">
        <v>42</v>
      </c>
      <c r="D1045" t="s">
        <v>38</v>
      </c>
      <c r="E1045" t="s">
        <v>39</v>
      </c>
      <c r="F1045">
        <v>76494.66</v>
      </c>
    </row>
    <row r="1046" spans="1:6" x14ac:dyDescent="0.3">
      <c r="A1046">
        <v>2024</v>
      </c>
      <c r="B1046">
        <v>2</v>
      </c>
      <c r="C1046" t="s">
        <v>43</v>
      </c>
      <c r="D1046" t="s">
        <v>38</v>
      </c>
      <c r="E1046" t="s">
        <v>39</v>
      </c>
      <c r="F1046">
        <v>33460.5</v>
      </c>
    </row>
    <row r="1047" spans="1:6" x14ac:dyDescent="0.3">
      <c r="A1047">
        <v>2024</v>
      </c>
      <c r="B1047">
        <v>2</v>
      </c>
      <c r="C1047" t="s">
        <v>44</v>
      </c>
      <c r="D1047" t="s">
        <v>38</v>
      </c>
      <c r="E1047" t="s">
        <v>39</v>
      </c>
      <c r="F1047">
        <v>10720.47</v>
      </c>
    </row>
    <row r="1048" spans="1:6" x14ac:dyDescent="0.3">
      <c r="A1048">
        <v>2024</v>
      </c>
      <c r="B1048">
        <v>2</v>
      </c>
      <c r="C1048" t="s">
        <v>45</v>
      </c>
      <c r="D1048" t="s">
        <v>38</v>
      </c>
      <c r="E1048" t="s">
        <v>39</v>
      </c>
      <c r="F1048">
        <v>86913.31</v>
      </c>
    </row>
    <row r="1049" spans="1:6" x14ac:dyDescent="0.3">
      <c r="A1049">
        <v>2024</v>
      </c>
      <c r="B1049">
        <v>2</v>
      </c>
      <c r="C1049" t="s">
        <v>37</v>
      </c>
      <c r="D1049" t="s">
        <v>38</v>
      </c>
      <c r="E1049" t="s">
        <v>46</v>
      </c>
      <c r="F1049">
        <v>75306.2</v>
      </c>
    </row>
    <row r="1050" spans="1:6" x14ac:dyDescent="0.3">
      <c r="A1050">
        <v>2024</v>
      </c>
      <c r="B1050">
        <v>2</v>
      </c>
      <c r="C1050" t="s">
        <v>40</v>
      </c>
      <c r="D1050" t="s">
        <v>38</v>
      </c>
      <c r="E1050" t="s">
        <v>46</v>
      </c>
      <c r="F1050">
        <v>119080.65</v>
      </c>
    </row>
    <row r="1051" spans="1:6" x14ac:dyDescent="0.3">
      <c r="A1051">
        <v>2024</v>
      </c>
      <c r="B1051">
        <v>2</v>
      </c>
      <c r="C1051" t="s">
        <v>41</v>
      </c>
      <c r="D1051" t="s">
        <v>38</v>
      </c>
      <c r="E1051" t="s">
        <v>46</v>
      </c>
      <c r="F1051">
        <v>86179.86</v>
      </c>
    </row>
    <row r="1052" spans="1:6" x14ac:dyDescent="0.3">
      <c r="A1052">
        <v>2024</v>
      </c>
      <c r="B1052">
        <v>2</v>
      </c>
      <c r="C1052" t="s">
        <v>42</v>
      </c>
      <c r="D1052" t="s">
        <v>38</v>
      </c>
      <c r="E1052" t="s">
        <v>46</v>
      </c>
      <c r="F1052">
        <v>48977.86</v>
      </c>
    </row>
    <row r="1053" spans="1:6" x14ac:dyDescent="0.3">
      <c r="A1053">
        <v>2024</v>
      </c>
      <c r="B1053">
        <v>2</v>
      </c>
      <c r="C1053" t="s">
        <v>43</v>
      </c>
      <c r="D1053" t="s">
        <v>38</v>
      </c>
      <c r="E1053" t="s">
        <v>46</v>
      </c>
      <c r="F1053">
        <v>53355.21</v>
      </c>
    </row>
    <row r="1054" spans="1:6" x14ac:dyDescent="0.3">
      <c r="A1054">
        <v>2024</v>
      </c>
      <c r="B1054">
        <v>2</v>
      </c>
      <c r="C1054" t="s">
        <v>44</v>
      </c>
      <c r="D1054" t="s">
        <v>38</v>
      </c>
      <c r="E1054" t="s">
        <v>46</v>
      </c>
      <c r="F1054">
        <v>105639.36</v>
      </c>
    </row>
    <row r="1055" spans="1:6" x14ac:dyDescent="0.3">
      <c r="A1055">
        <v>2024</v>
      </c>
      <c r="B1055">
        <v>2</v>
      </c>
      <c r="C1055" t="s">
        <v>45</v>
      </c>
      <c r="D1055" t="s">
        <v>38</v>
      </c>
      <c r="E1055" t="s">
        <v>46</v>
      </c>
      <c r="F1055">
        <v>92720.93</v>
      </c>
    </row>
    <row r="1056" spans="1:6" x14ac:dyDescent="0.3">
      <c r="A1056">
        <v>2024</v>
      </c>
      <c r="B1056">
        <v>2</v>
      </c>
      <c r="C1056" t="s">
        <v>37</v>
      </c>
      <c r="D1056" t="s">
        <v>38</v>
      </c>
      <c r="E1056" t="s">
        <v>47</v>
      </c>
      <c r="F1056">
        <v>60322.19</v>
      </c>
    </row>
    <row r="1057" spans="1:6" x14ac:dyDescent="0.3">
      <c r="A1057">
        <v>2024</v>
      </c>
      <c r="B1057">
        <v>2</v>
      </c>
      <c r="C1057" t="s">
        <v>40</v>
      </c>
      <c r="D1057" t="s">
        <v>38</v>
      </c>
      <c r="E1057" t="s">
        <v>47</v>
      </c>
      <c r="F1057">
        <v>57857.03</v>
      </c>
    </row>
    <row r="1058" spans="1:6" x14ac:dyDescent="0.3">
      <c r="A1058">
        <v>2024</v>
      </c>
      <c r="B1058">
        <v>2</v>
      </c>
      <c r="C1058" t="s">
        <v>41</v>
      </c>
      <c r="D1058" t="s">
        <v>38</v>
      </c>
      <c r="E1058" t="s">
        <v>47</v>
      </c>
      <c r="F1058">
        <v>50890.63</v>
      </c>
    </row>
    <row r="1059" spans="1:6" x14ac:dyDescent="0.3">
      <c r="A1059">
        <v>2024</v>
      </c>
      <c r="B1059">
        <v>2</v>
      </c>
      <c r="C1059" t="s">
        <v>42</v>
      </c>
      <c r="D1059" t="s">
        <v>38</v>
      </c>
      <c r="E1059" t="s">
        <v>47</v>
      </c>
      <c r="F1059">
        <v>46973.56</v>
      </c>
    </row>
    <row r="1060" spans="1:6" x14ac:dyDescent="0.3">
      <c r="A1060">
        <v>2024</v>
      </c>
      <c r="B1060">
        <v>2</v>
      </c>
      <c r="C1060" t="s">
        <v>43</v>
      </c>
      <c r="D1060" t="s">
        <v>38</v>
      </c>
      <c r="E1060" t="s">
        <v>47</v>
      </c>
      <c r="F1060">
        <v>40784.559999999998</v>
      </c>
    </row>
    <row r="1061" spans="1:6" x14ac:dyDescent="0.3">
      <c r="A1061">
        <v>2024</v>
      </c>
      <c r="B1061">
        <v>2</v>
      </c>
      <c r="C1061" t="s">
        <v>44</v>
      </c>
      <c r="D1061" t="s">
        <v>38</v>
      </c>
      <c r="E1061" t="s">
        <v>47</v>
      </c>
      <c r="F1061">
        <v>23504.66</v>
      </c>
    </row>
    <row r="1062" spans="1:6" x14ac:dyDescent="0.3">
      <c r="A1062">
        <v>2024</v>
      </c>
      <c r="B1062">
        <v>2</v>
      </c>
      <c r="C1062" t="s">
        <v>45</v>
      </c>
      <c r="D1062" t="s">
        <v>38</v>
      </c>
      <c r="E1062" t="s">
        <v>47</v>
      </c>
      <c r="F1062">
        <v>32690.58</v>
      </c>
    </row>
    <row r="1063" spans="1:6" x14ac:dyDescent="0.3">
      <c r="A1063">
        <v>2024</v>
      </c>
      <c r="B1063">
        <v>2</v>
      </c>
      <c r="C1063" t="s">
        <v>37</v>
      </c>
      <c r="D1063" t="s">
        <v>48</v>
      </c>
      <c r="E1063" t="s">
        <v>49</v>
      </c>
      <c r="F1063">
        <v>48965.05</v>
      </c>
    </row>
    <row r="1064" spans="1:6" x14ac:dyDescent="0.3">
      <c r="A1064">
        <v>2024</v>
      </c>
      <c r="B1064">
        <v>2</v>
      </c>
      <c r="C1064" t="s">
        <v>40</v>
      </c>
      <c r="D1064" t="s">
        <v>48</v>
      </c>
      <c r="E1064" t="s">
        <v>49</v>
      </c>
      <c r="F1064">
        <v>95123.66</v>
      </c>
    </row>
    <row r="1065" spans="1:6" x14ac:dyDescent="0.3">
      <c r="A1065">
        <v>2024</v>
      </c>
      <c r="B1065">
        <v>2</v>
      </c>
      <c r="C1065" t="s">
        <v>41</v>
      </c>
      <c r="D1065" t="s">
        <v>48</v>
      </c>
      <c r="E1065" t="s">
        <v>49</v>
      </c>
      <c r="F1065">
        <v>72689.97</v>
      </c>
    </row>
    <row r="1066" spans="1:6" x14ac:dyDescent="0.3">
      <c r="A1066">
        <v>2024</v>
      </c>
      <c r="B1066">
        <v>2</v>
      </c>
      <c r="C1066" t="s">
        <v>42</v>
      </c>
      <c r="D1066" t="s">
        <v>48</v>
      </c>
      <c r="E1066" t="s">
        <v>49</v>
      </c>
      <c r="F1066">
        <v>103500.71</v>
      </c>
    </row>
    <row r="1067" spans="1:6" x14ac:dyDescent="0.3">
      <c r="A1067">
        <v>2024</v>
      </c>
      <c r="B1067">
        <v>2</v>
      </c>
      <c r="C1067" t="s">
        <v>43</v>
      </c>
      <c r="D1067" t="s">
        <v>48</v>
      </c>
      <c r="E1067" t="s">
        <v>49</v>
      </c>
      <c r="F1067">
        <v>35454.69</v>
      </c>
    </row>
    <row r="1068" spans="1:6" x14ac:dyDescent="0.3">
      <c r="A1068">
        <v>2024</v>
      </c>
      <c r="B1068">
        <v>2</v>
      </c>
      <c r="C1068" t="s">
        <v>44</v>
      </c>
      <c r="D1068" t="s">
        <v>48</v>
      </c>
      <c r="E1068" t="s">
        <v>49</v>
      </c>
      <c r="F1068">
        <v>62967.11</v>
      </c>
    </row>
    <row r="1069" spans="1:6" x14ac:dyDescent="0.3">
      <c r="A1069">
        <v>2024</v>
      </c>
      <c r="B1069">
        <v>2</v>
      </c>
      <c r="C1069" t="s">
        <v>45</v>
      </c>
      <c r="D1069" t="s">
        <v>48</v>
      </c>
      <c r="E1069" t="s">
        <v>49</v>
      </c>
      <c r="F1069">
        <v>63868.88</v>
      </c>
    </row>
    <row r="1070" spans="1:6" x14ac:dyDescent="0.3">
      <c r="A1070">
        <v>2024</v>
      </c>
      <c r="B1070">
        <v>2</v>
      </c>
      <c r="C1070" t="s">
        <v>37</v>
      </c>
      <c r="D1070" t="s">
        <v>48</v>
      </c>
      <c r="E1070" t="s">
        <v>50</v>
      </c>
      <c r="F1070">
        <v>109353.35</v>
      </c>
    </row>
    <row r="1071" spans="1:6" x14ac:dyDescent="0.3">
      <c r="A1071">
        <v>2024</v>
      </c>
      <c r="B1071">
        <v>2</v>
      </c>
      <c r="C1071" t="s">
        <v>40</v>
      </c>
      <c r="D1071" t="s">
        <v>48</v>
      </c>
      <c r="E1071" t="s">
        <v>50</v>
      </c>
      <c r="F1071">
        <v>79545.649999999994</v>
      </c>
    </row>
    <row r="1072" spans="1:6" x14ac:dyDescent="0.3">
      <c r="A1072">
        <v>2024</v>
      </c>
      <c r="B1072">
        <v>2</v>
      </c>
      <c r="C1072" t="s">
        <v>41</v>
      </c>
      <c r="D1072" t="s">
        <v>48</v>
      </c>
      <c r="E1072" t="s">
        <v>50</v>
      </c>
      <c r="F1072">
        <v>65936.710000000006</v>
      </c>
    </row>
    <row r="1073" spans="1:6" x14ac:dyDescent="0.3">
      <c r="A1073">
        <v>2024</v>
      </c>
      <c r="B1073">
        <v>2</v>
      </c>
      <c r="C1073" t="s">
        <v>42</v>
      </c>
      <c r="D1073" t="s">
        <v>48</v>
      </c>
      <c r="E1073" t="s">
        <v>50</v>
      </c>
      <c r="F1073">
        <v>106343.12</v>
      </c>
    </row>
    <row r="1074" spans="1:6" x14ac:dyDescent="0.3">
      <c r="A1074">
        <v>2024</v>
      </c>
      <c r="B1074">
        <v>2</v>
      </c>
      <c r="C1074" t="s">
        <v>43</v>
      </c>
      <c r="D1074" t="s">
        <v>48</v>
      </c>
      <c r="E1074" t="s">
        <v>50</v>
      </c>
      <c r="F1074">
        <v>60783.67</v>
      </c>
    </row>
    <row r="1075" spans="1:6" x14ac:dyDescent="0.3">
      <c r="A1075">
        <v>2024</v>
      </c>
      <c r="B1075">
        <v>2</v>
      </c>
      <c r="C1075" t="s">
        <v>44</v>
      </c>
      <c r="D1075" t="s">
        <v>48</v>
      </c>
      <c r="E1075" t="s">
        <v>50</v>
      </c>
      <c r="F1075">
        <v>62451.07</v>
      </c>
    </row>
    <row r="1076" spans="1:6" x14ac:dyDescent="0.3">
      <c r="A1076">
        <v>2024</v>
      </c>
      <c r="B1076">
        <v>2</v>
      </c>
      <c r="C1076" t="s">
        <v>45</v>
      </c>
      <c r="D1076" t="s">
        <v>48</v>
      </c>
      <c r="E1076" t="s">
        <v>50</v>
      </c>
      <c r="F1076">
        <v>90454.98</v>
      </c>
    </row>
    <row r="1077" spans="1:6" x14ac:dyDescent="0.3">
      <c r="A1077">
        <v>2024</v>
      </c>
      <c r="B1077">
        <v>2</v>
      </c>
      <c r="C1077" t="s">
        <v>37</v>
      </c>
      <c r="D1077" t="s">
        <v>48</v>
      </c>
      <c r="E1077" t="s">
        <v>51</v>
      </c>
      <c r="F1077">
        <v>74109.05</v>
      </c>
    </row>
    <row r="1078" spans="1:6" x14ac:dyDescent="0.3">
      <c r="A1078">
        <v>2024</v>
      </c>
      <c r="B1078">
        <v>2</v>
      </c>
      <c r="C1078" t="s">
        <v>40</v>
      </c>
      <c r="D1078" t="s">
        <v>48</v>
      </c>
      <c r="E1078" t="s">
        <v>51</v>
      </c>
      <c r="F1078">
        <v>53685.279999999999</v>
      </c>
    </row>
    <row r="1079" spans="1:6" x14ac:dyDescent="0.3">
      <c r="A1079">
        <v>2024</v>
      </c>
      <c r="B1079">
        <v>2</v>
      </c>
      <c r="C1079" t="s">
        <v>41</v>
      </c>
      <c r="D1079" t="s">
        <v>48</v>
      </c>
      <c r="E1079" t="s">
        <v>51</v>
      </c>
      <c r="F1079">
        <v>60592.21</v>
      </c>
    </row>
    <row r="1080" spans="1:6" x14ac:dyDescent="0.3">
      <c r="A1080">
        <v>2024</v>
      </c>
      <c r="B1080">
        <v>2</v>
      </c>
      <c r="C1080" t="s">
        <v>42</v>
      </c>
      <c r="D1080" t="s">
        <v>48</v>
      </c>
      <c r="E1080" t="s">
        <v>51</v>
      </c>
      <c r="F1080">
        <v>64231.27</v>
      </c>
    </row>
    <row r="1081" spans="1:6" x14ac:dyDescent="0.3">
      <c r="A1081">
        <v>2024</v>
      </c>
      <c r="B1081">
        <v>2</v>
      </c>
      <c r="C1081" t="s">
        <v>43</v>
      </c>
      <c r="D1081" t="s">
        <v>48</v>
      </c>
      <c r="E1081" t="s">
        <v>51</v>
      </c>
      <c r="F1081">
        <v>83294.559999999998</v>
      </c>
    </row>
    <row r="1082" spans="1:6" x14ac:dyDescent="0.3">
      <c r="A1082">
        <v>2024</v>
      </c>
      <c r="B1082">
        <v>2</v>
      </c>
      <c r="C1082" t="s">
        <v>44</v>
      </c>
      <c r="D1082" t="s">
        <v>48</v>
      </c>
      <c r="E1082" t="s">
        <v>51</v>
      </c>
      <c r="F1082">
        <v>49215.79</v>
      </c>
    </row>
    <row r="1083" spans="1:6" x14ac:dyDescent="0.3">
      <c r="A1083">
        <v>2024</v>
      </c>
      <c r="B1083">
        <v>2</v>
      </c>
      <c r="C1083" t="s">
        <v>45</v>
      </c>
      <c r="D1083" t="s">
        <v>48</v>
      </c>
      <c r="E1083" t="s">
        <v>51</v>
      </c>
      <c r="F1083">
        <v>76870.23</v>
      </c>
    </row>
    <row r="1084" spans="1:6" x14ac:dyDescent="0.3">
      <c r="A1084">
        <v>2024</v>
      </c>
      <c r="B1084">
        <v>2</v>
      </c>
      <c r="C1084" t="s">
        <v>37</v>
      </c>
      <c r="D1084" t="s">
        <v>48</v>
      </c>
      <c r="E1084" t="s">
        <v>52</v>
      </c>
      <c r="F1084">
        <v>12679.3</v>
      </c>
    </row>
    <row r="1085" spans="1:6" x14ac:dyDescent="0.3">
      <c r="A1085">
        <v>2024</v>
      </c>
      <c r="B1085">
        <v>2</v>
      </c>
      <c r="C1085" t="s">
        <v>40</v>
      </c>
      <c r="D1085" t="s">
        <v>48</v>
      </c>
      <c r="E1085" t="s">
        <v>52</v>
      </c>
      <c r="F1085">
        <v>21456.81</v>
      </c>
    </row>
    <row r="1086" spans="1:6" x14ac:dyDescent="0.3">
      <c r="A1086">
        <v>2024</v>
      </c>
      <c r="B1086">
        <v>2</v>
      </c>
      <c r="C1086" t="s">
        <v>41</v>
      </c>
      <c r="D1086" t="s">
        <v>48</v>
      </c>
      <c r="E1086" t="s">
        <v>52</v>
      </c>
      <c r="F1086">
        <v>57011.77</v>
      </c>
    </row>
    <row r="1087" spans="1:6" x14ac:dyDescent="0.3">
      <c r="A1087">
        <v>2024</v>
      </c>
      <c r="B1087">
        <v>2</v>
      </c>
      <c r="C1087" t="s">
        <v>42</v>
      </c>
      <c r="D1087" t="s">
        <v>48</v>
      </c>
      <c r="E1087" t="s">
        <v>52</v>
      </c>
      <c r="F1087">
        <v>98112.22</v>
      </c>
    </row>
    <row r="1088" spans="1:6" x14ac:dyDescent="0.3">
      <c r="A1088">
        <v>2024</v>
      </c>
      <c r="B1088">
        <v>2</v>
      </c>
      <c r="C1088" t="s">
        <v>43</v>
      </c>
      <c r="D1088" t="s">
        <v>48</v>
      </c>
      <c r="E1088" t="s">
        <v>52</v>
      </c>
      <c r="F1088">
        <v>46999.21</v>
      </c>
    </row>
    <row r="1089" spans="1:6" x14ac:dyDescent="0.3">
      <c r="A1089">
        <v>2024</v>
      </c>
      <c r="B1089">
        <v>2</v>
      </c>
      <c r="C1089" t="s">
        <v>44</v>
      </c>
      <c r="D1089" t="s">
        <v>48</v>
      </c>
      <c r="E1089" t="s">
        <v>52</v>
      </c>
      <c r="F1089">
        <v>114211.01</v>
      </c>
    </row>
    <row r="1090" spans="1:6" x14ac:dyDescent="0.3">
      <c r="A1090">
        <v>2024</v>
      </c>
      <c r="B1090">
        <v>2</v>
      </c>
      <c r="C1090" t="s">
        <v>45</v>
      </c>
      <c r="D1090" t="s">
        <v>48</v>
      </c>
      <c r="E1090" t="s">
        <v>52</v>
      </c>
      <c r="F1090">
        <v>115436.85</v>
      </c>
    </row>
    <row r="1091" spans="1:6" x14ac:dyDescent="0.3">
      <c r="A1091">
        <v>2024</v>
      </c>
      <c r="B1091">
        <v>2</v>
      </c>
      <c r="C1091" t="s">
        <v>37</v>
      </c>
      <c r="D1091" t="s">
        <v>48</v>
      </c>
      <c r="E1091" t="s">
        <v>53</v>
      </c>
      <c r="F1091">
        <v>99713.22</v>
      </c>
    </row>
    <row r="1092" spans="1:6" x14ac:dyDescent="0.3">
      <c r="A1092">
        <v>2024</v>
      </c>
      <c r="B1092">
        <v>2</v>
      </c>
      <c r="C1092" t="s">
        <v>40</v>
      </c>
      <c r="D1092" t="s">
        <v>48</v>
      </c>
      <c r="E1092" t="s">
        <v>53</v>
      </c>
      <c r="F1092">
        <v>99568.53</v>
      </c>
    </row>
    <row r="1093" spans="1:6" x14ac:dyDescent="0.3">
      <c r="A1093">
        <v>2024</v>
      </c>
      <c r="B1093">
        <v>2</v>
      </c>
      <c r="C1093" t="s">
        <v>41</v>
      </c>
      <c r="D1093" t="s">
        <v>48</v>
      </c>
      <c r="E1093" t="s">
        <v>53</v>
      </c>
      <c r="F1093">
        <v>37117.78</v>
      </c>
    </row>
    <row r="1094" spans="1:6" x14ac:dyDescent="0.3">
      <c r="A1094">
        <v>2024</v>
      </c>
      <c r="B1094">
        <v>2</v>
      </c>
      <c r="C1094" t="s">
        <v>42</v>
      </c>
      <c r="D1094" t="s">
        <v>48</v>
      </c>
      <c r="E1094" t="s">
        <v>53</v>
      </c>
      <c r="F1094">
        <v>102699.58</v>
      </c>
    </row>
    <row r="1095" spans="1:6" x14ac:dyDescent="0.3">
      <c r="A1095">
        <v>2024</v>
      </c>
      <c r="B1095">
        <v>2</v>
      </c>
      <c r="C1095" t="s">
        <v>43</v>
      </c>
      <c r="D1095" t="s">
        <v>48</v>
      </c>
      <c r="E1095" t="s">
        <v>53</v>
      </c>
      <c r="F1095">
        <v>24227.59</v>
      </c>
    </row>
    <row r="1096" spans="1:6" x14ac:dyDescent="0.3">
      <c r="A1096">
        <v>2024</v>
      </c>
      <c r="B1096">
        <v>2</v>
      </c>
      <c r="C1096" t="s">
        <v>44</v>
      </c>
      <c r="D1096" t="s">
        <v>48</v>
      </c>
      <c r="E1096" t="s">
        <v>53</v>
      </c>
      <c r="F1096">
        <v>89030.44</v>
      </c>
    </row>
    <row r="1097" spans="1:6" x14ac:dyDescent="0.3">
      <c r="A1097">
        <v>2024</v>
      </c>
      <c r="B1097">
        <v>2</v>
      </c>
      <c r="C1097" t="s">
        <v>45</v>
      </c>
      <c r="D1097" t="s">
        <v>48</v>
      </c>
      <c r="E1097" t="s">
        <v>53</v>
      </c>
      <c r="F1097">
        <v>119425.75</v>
      </c>
    </row>
    <row r="1098" spans="1:6" x14ac:dyDescent="0.3">
      <c r="A1098">
        <v>2024</v>
      </c>
      <c r="B1098">
        <v>2</v>
      </c>
      <c r="C1098" t="s">
        <v>37</v>
      </c>
      <c r="D1098" t="s">
        <v>48</v>
      </c>
      <c r="E1098" t="s">
        <v>54</v>
      </c>
      <c r="F1098">
        <v>81854.710000000006</v>
      </c>
    </row>
    <row r="1099" spans="1:6" x14ac:dyDescent="0.3">
      <c r="A1099">
        <v>2024</v>
      </c>
      <c r="B1099">
        <v>2</v>
      </c>
      <c r="C1099" t="s">
        <v>40</v>
      </c>
      <c r="D1099" t="s">
        <v>48</v>
      </c>
      <c r="E1099" t="s">
        <v>54</v>
      </c>
      <c r="F1099">
        <v>13419.03</v>
      </c>
    </row>
    <row r="1100" spans="1:6" x14ac:dyDescent="0.3">
      <c r="A1100">
        <v>2024</v>
      </c>
      <c r="B1100">
        <v>2</v>
      </c>
      <c r="C1100" t="s">
        <v>41</v>
      </c>
      <c r="D1100" t="s">
        <v>48</v>
      </c>
      <c r="E1100" t="s">
        <v>54</v>
      </c>
      <c r="F1100">
        <v>114250.88</v>
      </c>
    </row>
    <row r="1101" spans="1:6" x14ac:dyDescent="0.3">
      <c r="A1101">
        <v>2024</v>
      </c>
      <c r="B1101">
        <v>2</v>
      </c>
      <c r="C1101" t="s">
        <v>42</v>
      </c>
      <c r="D1101" t="s">
        <v>48</v>
      </c>
      <c r="E1101" t="s">
        <v>54</v>
      </c>
      <c r="F1101">
        <v>89765.02</v>
      </c>
    </row>
    <row r="1102" spans="1:6" x14ac:dyDescent="0.3">
      <c r="A1102">
        <v>2024</v>
      </c>
      <c r="B1102">
        <v>2</v>
      </c>
      <c r="C1102" t="s">
        <v>43</v>
      </c>
      <c r="D1102" t="s">
        <v>48</v>
      </c>
      <c r="E1102" t="s">
        <v>54</v>
      </c>
      <c r="F1102">
        <v>39768.61</v>
      </c>
    </row>
    <row r="1103" spans="1:6" x14ac:dyDescent="0.3">
      <c r="A1103">
        <v>2024</v>
      </c>
      <c r="B1103">
        <v>2</v>
      </c>
      <c r="C1103" t="s">
        <v>44</v>
      </c>
      <c r="D1103" t="s">
        <v>48</v>
      </c>
      <c r="E1103" t="s">
        <v>54</v>
      </c>
      <c r="F1103">
        <v>84708.800000000003</v>
      </c>
    </row>
    <row r="1104" spans="1:6" x14ac:dyDescent="0.3">
      <c r="A1104">
        <v>2024</v>
      </c>
      <c r="B1104">
        <v>2</v>
      </c>
      <c r="C1104" t="s">
        <v>45</v>
      </c>
      <c r="D1104" t="s">
        <v>48</v>
      </c>
      <c r="E1104" t="s">
        <v>54</v>
      </c>
      <c r="F1104">
        <v>58451.25</v>
      </c>
    </row>
    <row r="1105" spans="1:6" x14ac:dyDescent="0.3">
      <c r="A1105">
        <v>2024</v>
      </c>
      <c r="B1105">
        <v>2</v>
      </c>
      <c r="C1105" t="s">
        <v>37</v>
      </c>
      <c r="D1105" t="s">
        <v>48</v>
      </c>
      <c r="E1105" t="s">
        <v>55</v>
      </c>
      <c r="F1105">
        <v>12435.32</v>
      </c>
    </row>
    <row r="1106" spans="1:6" x14ac:dyDescent="0.3">
      <c r="A1106">
        <v>2024</v>
      </c>
      <c r="B1106">
        <v>2</v>
      </c>
      <c r="C1106" t="s">
        <v>40</v>
      </c>
      <c r="D1106" t="s">
        <v>48</v>
      </c>
      <c r="E1106" t="s">
        <v>55</v>
      </c>
      <c r="F1106">
        <v>83527.17</v>
      </c>
    </row>
    <row r="1107" spans="1:6" x14ac:dyDescent="0.3">
      <c r="A1107">
        <v>2024</v>
      </c>
      <c r="B1107">
        <v>2</v>
      </c>
      <c r="C1107" t="s">
        <v>41</v>
      </c>
      <c r="D1107" t="s">
        <v>48</v>
      </c>
      <c r="E1107" t="s">
        <v>55</v>
      </c>
      <c r="F1107">
        <v>27082.35</v>
      </c>
    </row>
    <row r="1108" spans="1:6" x14ac:dyDescent="0.3">
      <c r="A1108">
        <v>2024</v>
      </c>
      <c r="B1108">
        <v>2</v>
      </c>
      <c r="C1108" t="s">
        <v>42</v>
      </c>
      <c r="D1108" t="s">
        <v>48</v>
      </c>
      <c r="E1108" t="s">
        <v>55</v>
      </c>
      <c r="F1108">
        <v>84915.94</v>
      </c>
    </row>
    <row r="1109" spans="1:6" x14ac:dyDescent="0.3">
      <c r="A1109">
        <v>2024</v>
      </c>
      <c r="B1109">
        <v>2</v>
      </c>
      <c r="C1109" t="s">
        <v>43</v>
      </c>
      <c r="D1109" t="s">
        <v>48</v>
      </c>
      <c r="E1109" t="s">
        <v>55</v>
      </c>
      <c r="F1109">
        <v>40598.14</v>
      </c>
    </row>
    <row r="1110" spans="1:6" x14ac:dyDescent="0.3">
      <c r="A1110">
        <v>2024</v>
      </c>
      <c r="B1110">
        <v>2</v>
      </c>
      <c r="C1110" t="s">
        <v>44</v>
      </c>
      <c r="D1110" t="s">
        <v>48</v>
      </c>
      <c r="E1110" t="s">
        <v>55</v>
      </c>
      <c r="F1110">
        <v>112526.61</v>
      </c>
    </row>
    <row r="1111" spans="1:6" x14ac:dyDescent="0.3">
      <c r="A1111">
        <v>2024</v>
      </c>
      <c r="B1111">
        <v>2</v>
      </c>
      <c r="C1111" t="s">
        <v>45</v>
      </c>
      <c r="D1111" t="s">
        <v>48</v>
      </c>
      <c r="E1111" t="s">
        <v>55</v>
      </c>
      <c r="F1111">
        <v>73631.460000000006</v>
      </c>
    </row>
    <row r="1112" spans="1:6" x14ac:dyDescent="0.3">
      <c r="A1112">
        <v>2024</v>
      </c>
      <c r="B1112">
        <v>2</v>
      </c>
      <c r="C1112" t="s">
        <v>37</v>
      </c>
      <c r="D1112" t="s">
        <v>48</v>
      </c>
      <c r="E1112" t="s">
        <v>56</v>
      </c>
      <c r="F1112">
        <v>49650.76</v>
      </c>
    </row>
    <row r="1113" spans="1:6" x14ac:dyDescent="0.3">
      <c r="A1113">
        <v>2024</v>
      </c>
      <c r="B1113">
        <v>2</v>
      </c>
      <c r="C1113" t="s">
        <v>40</v>
      </c>
      <c r="D1113" t="s">
        <v>48</v>
      </c>
      <c r="E1113" t="s">
        <v>56</v>
      </c>
      <c r="F1113">
        <v>32142.1</v>
      </c>
    </row>
    <row r="1114" spans="1:6" x14ac:dyDescent="0.3">
      <c r="A1114">
        <v>2024</v>
      </c>
      <c r="B1114">
        <v>2</v>
      </c>
      <c r="C1114" t="s">
        <v>41</v>
      </c>
      <c r="D1114" t="s">
        <v>48</v>
      </c>
      <c r="E1114" t="s">
        <v>56</v>
      </c>
      <c r="F1114">
        <v>64931.3</v>
      </c>
    </row>
    <row r="1115" spans="1:6" x14ac:dyDescent="0.3">
      <c r="A1115">
        <v>2024</v>
      </c>
      <c r="B1115">
        <v>2</v>
      </c>
      <c r="C1115" t="s">
        <v>42</v>
      </c>
      <c r="D1115" t="s">
        <v>48</v>
      </c>
      <c r="E1115" t="s">
        <v>56</v>
      </c>
      <c r="F1115">
        <v>21711.74</v>
      </c>
    </row>
    <row r="1116" spans="1:6" x14ac:dyDescent="0.3">
      <c r="A1116">
        <v>2024</v>
      </c>
      <c r="B1116">
        <v>2</v>
      </c>
      <c r="C1116" t="s">
        <v>43</v>
      </c>
      <c r="D1116" t="s">
        <v>48</v>
      </c>
      <c r="E1116" t="s">
        <v>56</v>
      </c>
      <c r="F1116">
        <v>18884.580000000002</v>
      </c>
    </row>
    <row r="1117" spans="1:6" x14ac:dyDescent="0.3">
      <c r="A1117">
        <v>2024</v>
      </c>
      <c r="B1117">
        <v>2</v>
      </c>
      <c r="C1117" t="s">
        <v>44</v>
      </c>
      <c r="D1117" t="s">
        <v>48</v>
      </c>
      <c r="E1117" t="s">
        <v>56</v>
      </c>
      <c r="F1117">
        <v>112437.79</v>
      </c>
    </row>
    <row r="1118" spans="1:6" x14ac:dyDescent="0.3">
      <c r="A1118">
        <v>2024</v>
      </c>
      <c r="B1118">
        <v>2</v>
      </c>
      <c r="C1118" t="s">
        <v>45</v>
      </c>
      <c r="D1118" t="s">
        <v>48</v>
      </c>
      <c r="E1118" t="s">
        <v>56</v>
      </c>
      <c r="F1118">
        <v>11311.15</v>
      </c>
    </row>
    <row r="1119" spans="1:6" x14ac:dyDescent="0.3">
      <c r="A1119">
        <v>2024</v>
      </c>
      <c r="B1119">
        <v>2</v>
      </c>
      <c r="C1119" t="s">
        <v>37</v>
      </c>
      <c r="D1119" t="s">
        <v>57</v>
      </c>
      <c r="E1119" t="s">
        <v>58</v>
      </c>
      <c r="F1119">
        <v>155828.54</v>
      </c>
    </row>
    <row r="1120" spans="1:6" x14ac:dyDescent="0.3">
      <c r="A1120">
        <v>2024</v>
      </c>
      <c r="B1120">
        <v>2</v>
      </c>
      <c r="C1120" t="s">
        <v>37</v>
      </c>
      <c r="D1120" t="s">
        <v>57</v>
      </c>
      <c r="E1120" t="s">
        <v>59</v>
      </c>
      <c r="F1120">
        <v>77709.820000000007</v>
      </c>
    </row>
    <row r="1121" spans="1:6" x14ac:dyDescent="0.3">
      <c r="A1121">
        <v>2024</v>
      </c>
      <c r="B1121">
        <v>2</v>
      </c>
      <c r="C1121" t="s">
        <v>37</v>
      </c>
      <c r="D1121" t="s">
        <v>57</v>
      </c>
      <c r="E1121" t="s">
        <v>60</v>
      </c>
      <c r="F1121">
        <v>35022.300000000003</v>
      </c>
    </row>
    <row r="1122" spans="1:6" x14ac:dyDescent="0.3">
      <c r="A1122">
        <v>2024</v>
      </c>
      <c r="B1122">
        <v>3</v>
      </c>
      <c r="C1122" t="s">
        <v>37</v>
      </c>
      <c r="D1122" t="s">
        <v>38</v>
      </c>
      <c r="E1122" t="s">
        <v>39</v>
      </c>
      <c r="F1122">
        <v>96602.71</v>
      </c>
    </row>
    <row r="1123" spans="1:6" x14ac:dyDescent="0.3">
      <c r="A1123">
        <v>2024</v>
      </c>
      <c r="B1123">
        <v>3</v>
      </c>
      <c r="C1123" t="s">
        <v>40</v>
      </c>
      <c r="D1123" t="s">
        <v>38</v>
      </c>
      <c r="E1123" t="s">
        <v>39</v>
      </c>
      <c r="F1123">
        <v>103499.01</v>
      </c>
    </row>
    <row r="1124" spans="1:6" x14ac:dyDescent="0.3">
      <c r="A1124">
        <v>2024</v>
      </c>
      <c r="B1124">
        <v>3</v>
      </c>
      <c r="C1124" t="s">
        <v>41</v>
      </c>
      <c r="D1124" t="s">
        <v>38</v>
      </c>
      <c r="E1124" t="s">
        <v>39</v>
      </c>
      <c r="F1124">
        <v>10028.459999999999</v>
      </c>
    </row>
    <row r="1125" spans="1:6" x14ac:dyDescent="0.3">
      <c r="A1125">
        <v>2024</v>
      </c>
      <c r="B1125">
        <v>3</v>
      </c>
      <c r="C1125" t="s">
        <v>42</v>
      </c>
      <c r="D1125" t="s">
        <v>38</v>
      </c>
      <c r="E1125" t="s">
        <v>39</v>
      </c>
      <c r="F1125">
        <v>95774.17</v>
      </c>
    </row>
    <row r="1126" spans="1:6" x14ac:dyDescent="0.3">
      <c r="A1126">
        <v>2024</v>
      </c>
      <c r="B1126">
        <v>3</v>
      </c>
      <c r="C1126" t="s">
        <v>43</v>
      </c>
      <c r="D1126" t="s">
        <v>38</v>
      </c>
      <c r="E1126" t="s">
        <v>39</v>
      </c>
      <c r="F1126">
        <v>34313.86</v>
      </c>
    </row>
    <row r="1127" spans="1:6" x14ac:dyDescent="0.3">
      <c r="A1127">
        <v>2024</v>
      </c>
      <c r="B1127">
        <v>3</v>
      </c>
      <c r="C1127" t="s">
        <v>44</v>
      </c>
      <c r="D1127" t="s">
        <v>38</v>
      </c>
      <c r="E1127" t="s">
        <v>39</v>
      </c>
      <c r="F1127">
        <v>84487.01</v>
      </c>
    </row>
    <row r="1128" spans="1:6" x14ac:dyDescent="0.3">
      <c r="A1128">
        <v>2024</v>
      </c>
      <c r="B1128">
        <v>3</v>
      </c>
      <c r="C1128" t="s">
        <v>45</v>
      </c>
      <c r="D1128" t="s">
        <v>38</v>
      </c>
      <c r="E1128" t="s">
        <v>39</v>
      </c>
      <c r="F1128">
        <v>31271.67</v>
      </c>
    </row>
    <row r="1129" spans="1:6" x14ac:dyDescent="0.3">
      <c r="A1129">
        <v>2024</v>
      </c>
      <c r="B1129">
        <v>3</v>
      </c>
      <c r="C1129" t="s">
        <v>37</v>
      </c>
      <c r="D1129" t="s">
        <v>38</v>
      </c>
      <c r="E1129" t="s">
        <v>46</v>
      </c>
      <c r="F1129">
        <v>111908.93</v>
      </c>
    </row>
    <row r="1130" spans="1:6" x14ac:dyDescent="0.3">
      <c r="A1130">
        <v>2024</v>
      </c>
      <c r="B1130">
        <v>3</v>
      </c>
      <c r="C1130" t="s">
        <v>40</v>
      </c>
      <c r="D1130" t="s">
        <v>38</v>
      </c>
      <c r="E1130" t="s">
        <v>46</v>
      </c>
      <c r="F1130">
        <v>21599.54</v>
      </c>
    </row>
    <row r="1131" spans="1:6" x14ac:dyDescent="0.3">
      <c r="A1131">
        <v>2024</v>
      </c>
      <c r="B1131">
        <v>3</v>
      </c>
      <c r="C1131" t="s">
        <v>41</v>
      </c>
      <c r="D1131" t="s">
        <v>38</v>
      </c>
      <c r="E1131" t="s">
        <v>46</v>
      </c>
      <c r="F1131">
        <v>26581.77</v>
      </c>
    </row>
    <row r="1132" spans="1:6" x14ac:dyDescent="0.3">
      <c r="A1132">
        <v>2024</v>
      </c>
      <c r="B1132">
        <v>3</v>
      </c>
      <c r="C1132" t="s">
        <v>42</v>
      </c>
      <c r="D1132" t="s">
        <v>38</v>
      </c>
      <c r="E1132" t="s">
        <v>46</v>
      </c>
      <c r="F1132">
        <v>89373.93</v>
      </c>
    </row>
    <row r="1133" spans="1:6" x14ac:dyDescent="0.3">
      <c r="A1133">
        <v>2024</v>
      </c>
      <c r="B1133">
        <v>3</v>
      </c>
      <c r="C1133" t="s">
        <v>43</v>
      </c>
      <c r="D1133" t="s">
        <v>38</v>
      </c>
      <c r="E1133" t="s">
        <v>46</v>
      </c>
      <c r="F1133">
        <v>58807.199999999997</v>
      </c>
    </row>
    <row r="1134" spans="1:6" x14ac:dyDescent="0.3">
      <c r="A1134">
        <v>2024</v>
      </c>
      <c r="B1134">
        <v>3</v>
      </c>
      <c r="C1134" t="s">
        <v>44</v>
      </c>
      <c r="D1134" t="s">
        <v>38</v>
      </c>
      <c r="E1134" t="s">
        <v>46</v>
      </c>
      <c r="F1134">
        <v>29577.95</v>
      </c>
    </row>
    <row r="1135" spans="1:6" x14ac:dyDescent="0.3">
      <c r="A1135">
        <v>2024</v>
      </c>
      <c r="B1135">
        <v>3</v>
      </c>
      <c r="C1135" t="s">
        <v>45</v>
      </c>
      <c r="D1135" t="s">
        <v>38</v>
      </c>
      <c r="E1135" t="s">
        <v>46</v>
      </c>
      <c r="F1135">
        <v>105680.12</v>
      </c>
    </row>
    <row r="1136" spans="1:6" x14ac:dyDescent="0.3">
      <c r="A1136">
        <v>2024</v>
      </c>
      <c r="B1136">
        <v>3</v>
      </c>
      <c r="C1136" t="s">
        <v>37</v>
      </c>
      <c r="D1136" t="s">
        <v>38</v>
      </c>
      <c r="E1136" t="s">
        <v>47</v>
      </c>
      <c r="F1136">
        <v>115205.46</v>
      </c>
    </row>
    <row r="1137" spans="1:6" x14ac:dyDescent="0.3">
      <c r="A1137">
        <v>2024</v>
      </c>
      <c r="B1137">
        <v>3</v>
      </c>
      <c r="C1137" t="s">
        <v>40</v>
      </c>
      <c r="D1137" t="s">
        <v>38</v>
      </c>
      <c r="E1137" t="s">
        <v>47</v>
      </c>
      <c r="F1137">
        <v>102542.63</v>
      </c>
    </row>
    <row r="1138" spans="1:6" x14ac:dyDescent="0.3">
      <c r="A1138">
        <v>2024</v>
      </c>
      <c r="B1138">
        <v>3</v>
      </c>
      <c r="C1138" t="s">
        <v>41</v>
      </c>
      <c r="D1138" t="s">
        <v>38</v>
      </c>
      <c r="E1138" t="s">
        <v>47</v>
      </c>
      <c r="F1138">
        <v>55317.24</v>
      </c>
    </row>
    <row r="1139" spans="1:6" x14ac:dyDescent="0.3">
      <c r="A1139">
        <v>2024</v>
      </c>
      <c r="B1139">
        <v>3</v>
      </c>
      <c r="C1139" t="s">
        <v>42</v>
      </c>
      <c r="D1139" t="s">
        <v>38</v>
      </c>
      <c r="E1139" t="s">
        <v>47</v>
      </c>
      <c r="F1139">
        <v>46063.78</v>
      </c>
    </row>
    <row r="1140" spans="1:6" x14ac:dyDescent="0.3">
      <c r="A1140">
        <v>2024</v>
      </c>
      <c r="B1140">
        <v>3</v>
      </c>
      <c r="C1140" t="s">
        <v>43</v>
      </c>
      <c r="D1140" t="s">
        <v>38</v>
      </c>
      <c r="E1140" t="s">
        <v>47</v>
      </c>
      <c r="F1140">
        <v>90766.97</v>
      </c>
    </row>
    <row r="1141" spans="1:6" x14ac:dyDescent="0.3">
      <c r="A1141">
        <v>2024</v>
      </c>
      <c r="B1141">
        <v>3</v>
      </c>
      <c r="C1141" t="s">
        <v>44</v>
      </c>
      <c r="D1141" t="s">
        <v>38</v>
      </c>
      <c r="E1141" t="s">
        <v>47</v>
      </c>
      <c r="F1141">
        <v>52990.92</v>
      </c>
    </row>
    <row r="1142" spans="1:6" x14ac:dyDescent="0.3">
      <c r="A1142">
        <v>2024</v>
      </c>
      <c r="B1142">
        <v>3</v>
      </c>
      <c r="C1142" t="s">
        <v>45</v>
      </c>
      <c r="D1142" t="s">
        <v>38</v>
      </c>
      <c r="E1142" t="s">
        <v>47</v>
      </c>
      <c r="F1142">
        <v>106441.59</v>
      </c>
    </row>
    <row r="1143" spans="1:6" x14ac:dyDescent="0.3">
      <c r="A1143">
        <v>2024</v>
      </c>
      <c r="B1143">
        <v>3</v>
      </c>
      <c r="C1143" t="s">
        <v>37</v>
      </c>
      <c r="D1143" t="s">
        <v>48</v>
      </c>
      <c r="E1143" t="s">
        <v>49</v>
      </c>
      <c r="F1143">
        <v>15691.36</v>
      </c>
    </row>
    <row r="1144" spans="1:6" x14ac:dyDescent="0.3">
      <c r="A1144">
        <v>2024</v>
      </c>
      <c r="B1144">
        <v>3</v>
      </c>
      <c r="C1144" t="s">
        <v>40</v>
      </c>
      <c r="D1144" t="s">
        <v>48</v>
      </c>
      <c r="E1144" t="s">
        <v>49</v>
      </c>
      <c r="F1144">
        <v>86639.4</v>
      </c>
    </row>
    <row r="1145" spans="1:6" x14ac:dyDescent="0.3">
      <c r="A1145">
        <v>2024</v>
      </c>
      <c r="B1145">
        <v>3</v>
      </c>
      <c r="C1145" t="s">
        <v>41</v>
      </c>
      <c r="D1145" t="s">
        <v>48</v>
      </c>
      <c r="E1145" t="s">
        <v>49</v>
      </c>
      <c r="F1145">
        <v>35803.49</v>
      </c>
    </row>
    <row r="1146" spans="1:6" x14ac:dyDescent="0.3">
      <c r="A1146">
        <v>2024</v>
      </c>
      <c r="B1146">
        <v>3</v>
      </c>
      <c r="C1146" t="s">
        <v>42</v>
      </c>
      <c r="D1146" t="s">
        <v>48</v>
      </c>
      <c r="E1146" t="s">
        <v>49</v>
      </c>
      <c r="F1146">
        <v>11296.6</v>
      </c>
    </row>
    <row r="1147" spans="1:6" x14ac:dyDescent="0.3">
      <c r="A1147">
        <v>2024</v>
      </c>
      <c r="B1147">
        <v>3</v>
      </c>
      <c r="C1147" t="s">
        <v>43</v>
      </c>
      <c r="D1147" t="s">
        <v>48</v>
      </c>
      <c r="E1147" t="s">
        <v>49</v>
      </c>
      <c r="F1147">
        <v>58151.19</v>
      </c>
    </row>
    <row r="1148" spans="1:6" x14ac:dyDescent="0.3">
      <c r="A1148">
        <v>2024</v>
      </c>
      <c r="B1148">
        <v>3</v>
      </c>
      <c r="C1148" t="s">
        <v>44</v>
      </c>
      <c r="D1148" t="s">
        <v>48</v>
      </c>
      <c r="E1148" t="s">
        <v>49</v>
      </c>
      <c r="F1148">
        <v>54150.27</v>
      </c>
    </row>
    <row r="1149" spans="1:6" x14ac:dyDescent="0.3">
      <c r="A1149">
        <v>2024</v>
      </c>
      <c r="B1149">
        <v>3</v>
      </c>
      <c r="C1149" t="s">
        <v>45</v>
      </c>
      <c r="D1149" t="s">
        <v>48</v>
      </c>
      <c r="E1149" t="s">
        <v>49</v>
      </c>
      <c r="F1149">
        <v>101734.75</v>
      </c>
    </row>
    <row r="1150" spans="1:6" x14ac:dyDescent="0.3">
      <c r="A1150">
        <v>2024</v>
      </c>
      <c r="B1150">
        <v>3</v>
      </c>
      <c r="C1150" t="s">
        <v>37</v>
      </c>
      <c r="D1150" t="s">
        <v>48</v>
      </c>
      <c r="E1150" t="s">
        <v>50</v>
      </c>
      <c r="F1150">
        <v>109286.43</v>
      </c>
    </row>
    <row r="1151" spans="1:6" x14ac:dyDescent="0.3">
      <c r="A1151">
        <v>2024</v>
      </c>
      <c r="B1151">
        <v>3</v>
      </c>
      <c r="C1151" t="s">
        <v>40</v>
      </c>
      <c r="D1151" t="s">
        <v>48</v>
      </c>
      <c r="E1151" t="s">
        <v>50</v>
      </c>
      <c r="F1151">
        <v>114115.4</v>
      </c>
    </row>
    <row r="1152" spans="1:6" x14ac:dyDescent="0.3">
      <c r="A1152">
        <v>2024</v>
      </c>
      <c r="B1152">
        <v>3</v>
      </c>
      <c r="C1152" t="s">
        <v>41</v>
      </c>
      <c r="D1152" t="s">
        <v>48</v>
      </c>
      <c r="E1152" t="s">
        <v>50</v>
      </c>
      <c r="F1152">
        <v>105855.21</v>
      </c>
    </row>
    <row r="1153" spans="1:6" x14ac:dyDescent="0.3">
      <c r="A1153">
        <v>2024</v>
      </c>
      <c r="B1153">
        <v>3</v>
      </c>
      <c r="C1153" t="s">
        <v>42</v>
      </c>
      <c r="D1153" t="s">
        <v>48</v>
      </c>
      <c r="E1153" t="s">
        <v>50</v>
      </c>
      <c r="F1153">
        <v>96851.59</v>
      </c>
    </row>
    <row r="1154" spans="1:6" x14ac:dyDescent="0.3">
      <c r="A1154">
        <v>2024</v>
      </c>
      <c r="B1154">
        <v>3</v>
      </c>
      <c r="C1154" t="s">
        <v>43</v>
      </c>
      <c r="D1154" t="s">
        <v>48</v>
      </c>
      <c r="E1154" t="s">
        <v>50</v>
      </c>
      <c r="F1154">
        <v>66724.179999999993</v>
      </c>
    </row>
    <row r="1155" spans="1:6" x14ac:dyDescent="0.3">
      <c r="A1155">
        <v>2024</v>
      </c>
      <c r="B1155">
        <v>3</v>
      </c>
      <c r="C1155" t="s">
        <v>44</v>
      </c>
      <c r="D1155" t="s">
        <v>48</v>
      </c>
      <c r="E1155" t="s">
        <v>50</v>
      </c>
      <c r="F1155">
        <v>23732.400000000001</v>
      </c>
    </row>
    <row r="1156" spans="1:6" x14ac:dyDescent="0.3">
      <c r="A1156">
        <v>2024</v>
      </c>
      <c r="B1156">
        <v>3</v>
      </c>
      <c r="C1156" t="s">
        <v>45</v>
      </c>
      <c r="D1156" t="s">
        <v>48</v>
      </c>
      <c r="E1156" t="s">
        <v>50</v>
      </c>
      <c r="F1156">
        <v>96252.28</v>
      </c>
    </row>
    <row r="1157" spans="1:6" x14ac:dyDescent="0.3">
      <c r="A1157">
        <v>2024</v>
      </c>
      <c r="B1157">
        <v>3</v>
      </c>
      <c r="C1157" t="s">
        <v>37</v>
      </c>
      <c r="D1157" t="s">
        <v>48</v>
      </c>
      <c r="E1157" t="s">
        <v>51</v>
      </c>
      <c r="F1157">
        <v>29966.67</v>
      </c>
    </row>
    <row r="1158" spans="1:6" x14ac:dyDescent="0.3">
      <c r="A1158">
        <v>2024</v>
      </c>
      <c r="B1158">
        <v>3</v>
      </c>
      <c r="C1158" t="s">
        <v>40</v>
      </c>
      <c r="D1158" t="s">
        <v>48</v>
      </c>
      <c r="E1158" t="s">
        <v>51</v>
      </c>
      <c r="F1158">
        <v>15683.84</v>
      </c>
    </row>
    <row r="1159" spans="1:6" x14ac:dyDescent="0.3">
      <c r="A1159">
        <v>2024</v>
      </c>
      <c r="B1159">
        <v>3</v>
      </c>
      <c r="C1159" t="s">
        <v>41</v>
      </c>
      <c r="D1159" t="s">
        <v>48</v>
      </c>
      <c r="E1159" t="s">
        <v>51</v>
      </c>
      <c r="F1159">
        <v>92784.3</v>
      </c>
    </row>
    <row r="1160" spans="1:6" x14ac:dyDescent="0.3">
      <c r="A1160">
        <v>2024</v>
      </c>
      <c r="B1160">
        <v>3</v>
      </c>
      <c r="C1160" t="s">
        <v>42</v>
      </c>
      <c r="D1160" t="s">
        <v>48</v>
      </c>
      <c r="E1160" t="s">
        <v>51</v>
      </c>
      <c r="F1160">
        <v>112954.13</v>
      </c>
    </row>
    <row r="1161" spans="1:6" x14ac:dyDescent="0.3">
      <c r="A1161">
        <v>2024</v>
      </c>
      <c r="B1161">
        <v>3</v>
      </c>
      <c r="C1161" t="s">
        <v>43</v>
      </c>
      <c r="D1161" t="s">
        <v>48</v>
      </c>
      <c r="E1161" t="s">
        <v>51</v>
      </c>
      <c r="F1161">
        <v>47189.279999999999</v>
      </c>
    </row>
    <row r="1162" spans="1:6" x14ac:dyDescent="0.3">
      <c r="A1162">
        <v>2024</v>
      </c>
      <c r="B1162">
        <v>3</v>
      </c>
      <c r="C1162" t="s">
        <v>44</v>
      </c>
      <c r="D1162" t="s">
        <v>48</v>
      </c>
      <c r="E1162" t="s">
        <v>51</v>
      </c>
      <c r="F1162">
        <v>116441.09</v>
      </c>
    </row>
    <row r="1163" spans="1:6" x14ac:dyDescent="0.3">
      <c r="A1163">
        <v>2024</v>
      </c>
      <c r="B1163">
        <v>3</v>
      </c>
      <c r="C1163" t="s">
        <v>45</v>
      </c>
      <c r="D1163" t="s">
        <v>48</v>
      </c>
      <c r="E1163" t="s">
        <v>51</v>
      </c>
      <c r="F1163">
        <v>59404.57</v>
      </c>
    </row>
    <row r="1164" spans="1:6" x14ac:dyDescent="0.3">
      <c r="A1164">
        <v>2024</v>
      </c>
      <c r="B1164">
        <v>3</v>
      </c>
      <c r="C1164" t="s">
        <v>37</v>
      </c>
      <c r="D1164" t="s">
        <v>48</v>
      </c>
      <c r="E1164" t="s">
        <v>52</v>
      </c>
      <c r="F1164">
        <v>59849.36</v>
      </c>
    </row>
    <row r="1165" spans="1:6" x14ac:dyDescent="0.3">
      <c r="A1165">
        <v>2024</v>
      </c>
      <c r="B1165">
        <v>3</v>
      </c>
      <c r="C1165" t="s">
        <v>40</v>
      </c>
      <c r="D1165" t="s">
        <v>48</v>
      </c>
      <c r="E1165" t="s">
        <v>52</v>
      </c>
      <c r="F1165">
        <v>83682.58</v>
      </c>
    </row>
    <row r="1166" spans="1:6" x14ac:dyDescent="0.3">
      <c r="A1166">
        <v>2024</v>
      </c>
      <c r="B1166">
        <v>3</v>
      </c>
      <c r="C1166" t="s">
        <v>41</v>
      </c>
      <c r="D1166" t="s">
        <v>48</v>
      </c>
      <c r="E1166" t="s">
        <v>52</v>
      </c>
      <c r="F1166">
        <v>80749.850000000006</v>
      </c>
    </row>
    <row r="1167" spans="1:6" x14ac:dyDescent="0.3">
      <c r="A1167">
        <v>2024</v>
      </c>
      <c r="B1167">
        <v>3</v>
      </c>
      <c r="C1167" t="s">
        <v>42</v>
      </c>
      <c r="D1167" t="s">
        <v>48</v>
      </c>
      <c r="E1167" t="s">
        <v>52</v>
      </c>
      <c r="F1167">
        <v>10332.780000000001</v>
      </c>
    </row>
    <row r="1168" spans="1:6" x14ac:dyDescent="0.3">
      <c r="A1168">
        <v>2024</v>
      </c>
      <c r="B1168">
        <v>3</v>
      </c>
      <c r="C1168" t="s">
        <v>43</v>
      </c>
      <c r="D1168" t="s">
        <v>48</v>
      </c>
      <c r="E1168" t="s">
        <v>52</v>
      </c>
      <c r="F1168">
        <v>20666.259999999998</v>
      </c>
    </row>
    <row r="1169" spans="1:6" x14ac:dyDescent="0.3">
      <c r="A1169">
        <v>2024</v>
      </c>
      <c r="B1169">
        <v>3</v>
      </c>
      <c r="C1169" t="s">
        <v>44</v>
      </c>
      <c r="D1169" t="s">
        <v>48</v>
      </c>
      <c r="E1169" t="s">
        <v>52</v>
      </c>
      <c r="F1169">
        <v>45634.8</v>
      </c>
    </row>
    <row r="1170" spans="1:6" x14ac:dyDescent="0.3">
      <c r="A1170">
        <v>2024</v>
      </c>
      <c r="B1170">
        <v>3</v>
      </c>
      <c r="C1170" t="s">
        <v>45</v>
      </c>
      <c r="D1170" t="s">
        <v>48</v>
      </c>
      <c r="E1170" t="s">
        <v>52</v>
      </c>
      <c r="F1170">
        <v>71571.86</v>
      </c>
    </row>
    <row r="1171" spans="1:6" x14ac:dyDescent="0.3">
      <c r="A1171">
        <v>2024</v>
      </c>
      <c r="B1171">
        <v>3</v>
      </c>
      <c r="C1171" t="s">
        <v>37</v>
      </c>
      <c r="D1171" t="s">
        <v>48</v>
      </c>
      <c r="E1171" t="s">
        <v>53</v>
      </c>
      <c r="F1171">
        <v>106204.5</v>
      </c>
    </row>
    <row r="1172" spans="1:6" x14ac:dyDescent="0.3">
      <c r="A1172">
        <v>2024</v>
      </c>
      <c r="B1172">
        <v>3</v>
      </c>
      <c r="C1172" t="s">
        <v>40</v>
      </c>
      <c r="D1172" t="s">
        <v>48</v>
      </c>
      <c r="E1172" t="s">
        <v>53</v>
      </c>
      <c r="F1172">
        <v>62396.77</v>
      </c>
    </row>
    <row r="1173" spans="1:6" x14ac:dyDescent="0.3">
      <c r="A1173">
        <v>2024</v>
      </c>
      <c r="B1173">
        <v>3</v>
      </c>
      <c r="C1173" t="s">
        <v>41</v>
      </c>
      <c r="D1173" t="s">
        <v>48</v>
      </c>
      <c r="E1173" t="s">
        <v>53</v>
      </c>
      <c r="F1173">
        <v>82072.98</v>
      </c>
    </row>
    <row r="1174" spans="1:6" x14ac:dyDescent="0.3">
      <c r="A1174">
        <v>2024</v>
      </c>
      <c r="B1174">
        <v>3</v>
      </c>
      <c r="C1174" t="s">
        <v>42</v>
      </c>
      <c r="D1174" t="s">
        <v>48</v>
      </c>
      <c r="E1174" t="s">
        <v>53</v>
      </c>
      <c r="F1174">
        <v>22648.66</v>
      </c>
    </row>
    <row r="1175" spans="1:6" x14ac:dyDescent="0.3">
      <c r="A1175">
        <v>2024</v>
      </c>
      <c r="B1175">
        <v>3</v>
      </c>
      <c r="C1175" t="s">
        <v>43</v>
      </c>
      <c r="D1175" t="s">
        <v>48</v>
      </c>
      <c r="E1175" t="s">
        <v>53</v>
      </c>
      <c r="F1175">
        <v>56551.66</v>
      </c>
    </row>
    <row r="1176" spans="1:6" x14ac:dyDescent="0.3">
      <c r="A1176">
        <v>2024</v>
      </c>
      <c r="B1176">
        <v>3</v>
      </c>
      <c r="C1176" t="s">
        <v>44</v>
      </c>
      <c r="D1176" t="s">
        <v>48</v>
      </c>
      <c r="E1176" t="s">
        <v>53</v>
      </c>
      <c r="F1176">
        <v>47302.84</v>
      </c>
    </row>
    <row r="1177" spans="1:6" x14ac:dyDescent="0.3">
      <c r="A1177">
        <v>2024</v>
      </c>
      <c r="B1177">
        <v>3</v>
      </c>
      <c r="C1177" t="s">
        <v>45</v>
      </c>
      <c r="D1177" t="s">
        <v>48</v>
      </c>
      <c r="E1177" t="s">
        <v>53</v>
      </c>
      <c r="F1177">
        <v>109467.7</v>
      </c>
    </row>
    <row r="1178" spans="1:6" x14ac:dyDescent="0.3">
      <c r="A1178">
        <v>2024</v>
      </c>
      <c r="B1178">
        <v>3</v>
      </c>
      <c r="C1178" t="s">
        <v>37</v>
      </c>
      <c r="D1178" t="s">
        <v>48</v>
      </c>
      <c r="E1178" t="s">
        <v>54</v>
      </c>
      <c r="F1178">
        <v>22253.86</v>
      </c>
    </row>
    <row r="1179" spans="1:6" x14ac:dyDescent="0.3">
      <c r="A1179">
        <v>2024</v>
      </c>
      <c r="B1179">
        <v>3</v>
      </c>
      <c r="C1179" t="s">
        <v>40</v>
      </c>
      <c r="D1179" t="s">
        <v>48</v>
      </c>
      <c r="E1179" t="s">
        <v>54</v>
      </c>
      <c r="F1179">
        <v>91628.45</v>
      </c>
    </row>
    <row r="1180" spans="1:6" x14ac:dyDescent="0.3">
      <c r="A1180">
        <v>2024</v>
      </c>
      <c r="B1180">
        <v>3</v>
      </c>
      <c r="C1180" t="s">
        <v>41</v>
      </c>
      <c r="D1180" t="s">
        <v>48</v>
      </c>
      <c r="E1180" t="s">
        <v>54</v>
      </c>
      <c r="F1180">
        <v>23336.25</v>
      </c>
    </row>
    <row r="1181" spans="1:6" x14ac:dyDescent="0.3">
      <c r="A1181">
        <v>2024</v>
      </c>
      <c r="B1181">
        <v>3</v>
      </c>
      <c r="C1181" t="s">
        <v>42</v>
      </c>
      <c r="D1181" t="s">
        <v>48</v>
      </c>
      <c r="E1181" t="s">
        <v>54</v>
      </c>
      <c r="F1181">
        <v>28408.49</v>
      </c>
    </row>
    <row r="1182" spans="1:6" x14ac:dyDescent="0.3">
      <c r="A1182">
        <v>2024</v>
      </c>
      <c r="B1182">
        <v>3</v>
      </c>
      <c r="C1182" t="s">
        <v>43</v>
      </c>
      <c r="D1182" t="s">
        <v>48</v>
      </c>
      <c r="E1182" t="s">
        <v>54</v>
      </c>
      <c r="F1182">
        <v>45699.61</v>
      </c>
    </row>
    <row r="1183" spans="1:6" x14ac:dyDescent="0.3">
      <c r="A1183">
        <v>2024</v>
      </c>
      <c r="B1183">
        <v>3</v>
      </c>
      <c r="C1183" t="s">
        <v>44</v>
      </c>
      <c r="D1183" t="s">
        <v>48</v>
      </c>
      <c r="E1183" t="s">
        <v>54</v>
      </c>
      <c r="F1183">
        <v>24776.68</v>
      </c>
    </row>
    <row r="1184" spans="1:6" x14ac:dyDescent="0.3">
      <c r="A1184">
        <v>2024</v>
      </c>
      <c r="B1184">
        <v>3</v>
      </c>
      <c r="C1184" t="s">
        <v>45</v>
      </c>
      <c r="D1184" t="s">
        <v>48</v>
      </c>
      <c r="E1184" t="s">
        <v>54</v>
      </c>
      <c r="F1184">
        <v>88634.81</v>
      </c>
    </row>
    <row r="1185" spans="1:6" x14ac:dyDescent="0.3">
      <c r="A1185">
        <v>2024</v>
      </c>
      <c r="B1185">
        <v>3</v>
      </c>
      <c r="C1185" t="s">
        <v>37</v>
      </c>
      <c r="D1185" t="s">
        <v>48</v>
      </c>
      <c r="E1185" t="s">
        <v>55</v>
      </c>
      <c r="F1185">
        <v>71537.55</v>
      </c>
    </row>
    <row r="1186" spans="1:6" x14ac:dyDescent="0.3">
      <c r="A1186">
        <v>2024</v>
      </c>
      <c r="B1186">
        <v>3</v>
      </c>
      <c r="C1186" t="s">
        <v>40</v>
      </c>
      <c r="D1186" t="s">
        <v>48</v>
      </c>
      <c r="E1186" t="s">
        <v>55</v>
      </c>
      <c r="F1186">
        <v>27589.99</v>
      </c>
    </row>
    <row r="1187" spans="1:6" x14ac:dyDescent="0.3">
      <c r="A1187">
        <v>2024</v>
      </c>
      <c r="B1187">
        <v>3</v>
      </c>
      <c r="C1187" t="s">
        <v>41</v>
      </c>
      <c r="D1187" t="s">
        <v>48</v>
      </c>
      <c r="E1187" t="s">
        <v>55</v>
      </c>
      <c r="F1187">
        <v>29798.65</v>
      </c>
    </row>
    <row r="1188" spans="1:6" x14ac:dyDescent="0.3">
      <c r="A1188">
        <v>2024</v>
      </c>
      <c r="B1188">
        <v>3</v>
      </c>
      <c r="C1188" t="s">
        <v>42</v>
      </c>
      <c r="D1188" t="s">
        <v>48</v>
      </c>
      <c r="E1188" t="s">
        <v>55</v>
      </c>
      <c r="F1188">
        <v>16235.58</v>
      </c>
    </row>
    <row r="1189" spans="1:6" x14ac:dyDescent="0.3">
      <c r="A1189">
        <v>2024</v>
      </c>
      <c r="B1189">
        <v>3</v>
      </c>
      <c r="C1189" t="s">
        <v>43</v>
      </c>
      <c r="D1189" t="s">
        <v>48</v>
      </c>
      <c r="E1189" t="s">
        <v>55</v>
      </c>
      <c r="F1189">
        <v>74647.11</v>
      </c>
    </row>
    <row r="1190" spans="1:6" x14ac:dyDescent="0.3">
      <c r="A1190">
        <v>2024</v>
      </c>
      <c r="B1190">
        <v>3</v>
      </c>
      <c r="C1190" t="s">
        <v>44</v>
      </c>
      <c r="D1190" t="s">
        <v>48</v>
      </c>
      <c r="E1190" t="s">
        <v>55</v>
      </c>
      <c r="F1190">
        <v>70878.66</v>
      </c>
    </row>
    <row r="1191" spans="1:6" x14ac:dyDescent="0.3">
      <c r="A1191">
        <v>2024</v>
      </c>
      <c r="B1191">
        <v>3</v>
      </c>
      <c r="C1191" t="s">
        <v>45</v>
      </c>
      <c r="D1191" t="s">
        <v>48</v>
      </c>
      <c r="E1191" t="s">
        <v>55</v>
      </c>
      <c r="F1191">
        <v>58578.18</v>
      </c>
    </row>
    <row r="1192" spans="1:6" x14ac:dyDescent="0.3">
      <c r="A1192">
        <v>2024</v>
      </c>
      <c r="B1192">
        <v>3</v>
      </c>
      <c r="C1192" t="s">
        <v>37</v>
      </c>
      <c r="D1192" t="s">
        <v>48</v>
      </c>
      <c r="E1192" t="s">
        <v>56</v>
      </c>
      <c r="F1192">
        <v>99089</v>
      </c>
    </row>
    <row r="1193" spans="1:6" x14ac:dyDescent="0.3">
      <c r="A1193">
        <v>2024</v>
      </c>
      <c r="B1193">
        <v>3</v>
      </c>
      <c r="C1193" t="s">
        <v>40</v>
      </c>
      <c r="D1193" t="s">
        <v>48</v>
      </c>
      <c r="E1193" t="s">
        <v>56</v>
      </c>
      <c r="F1193">
        <v>76719.09</v>
      </c>
    </row>
    <row r="1194" spans="1:6" x14ac:dyDescent="0.3">
      <c r="A1194">
        <v>2024</v>
      </c>
      <c r="B1194">
        <v>3</v>
      </c>
      <c r="C1194" t="s">
        <v>41</v>
      </c>
      <c r="D1194" t="s">
        <v>48</v>
      </c>
      <c r="E1194" t="s">
        <v>56</v>
      </c>
      <c r="F1194">
        <v>55487.94</v>
      </c>
    </row>
    <row r="1195" spans="1:6" x14ac:dyDescent="0.3">
      <c r="A1195">
        <v>2024</v>
      </c>
      <c r="B1195">
        <v>3</v>
      </c>
      <c r="C1195" t="s">
        <v>42</v>
      </c>
      <c r="D1195" t="s">
        <v>48</v>
      </c>
      <c r="E1195" t="s">
        <v>56</v>
      </c>
      <c r="F1195">
        <v>113285.49</v>
      </c>
    </row>
    <row r="1196" spans="1:6" x14ac:dyDescent="0.3">
      <c r="A1196">
        <v>2024</v>
      </c>
      <c r="B1196">
        <v>3</v>
      </c>
      <c r="C1196" t="s">
        <v>43</v>
      </c>
      <c r="D1196" t="s">
        <v>48</v>
      </c>
      <c r="E1196" t="s">
        <v>56</v>
      </c>
      <c r="F1196">
        <v>42634.36</v>
      </c>
    </row>
    <row r="1197" spans="1:6" x14ac:dyDescent="0.3">
      <c r="A1197">
        <v>2024</v>
      </c>
      <c r="B1197">
        <v>3</v>
      </c>
      <c r="C1197" t="s">
        <v>44</v>
      </c>
      <c r="D1197" t="s">
        <v>48</v>
      </c>
      <c r="E1197" t="s">
        <v>56</v>
      </c>
      <c r="F1197">
        <v>114987.34</v>
      </c>
    </row>
    <row r="1198" spans="1:6" x14ac:dyDescent="0.3">
      <c r="A1198">
        <v>2024</v>
      </c>
      <c r="B1198">
        <v>3</v>
      </c>
      <c r="C1198" t="s">
        <v>45</v>
      </c>
      <c r="D1198" t="s">
        <v>48</v>
      </c>
      <c r="E1198" t="s">
        <v>56</v>
      </c>
      <c r="F1198">
        <v>56141.17</v>
      </c>
    </row>
    <row r="1199" spans="1:6" x14ac:dyDescent="0.3">
      <c r="A1199">
        <v>2024</v>
      </c>
      <c r="B1199">
        <v>3</v>
      </c>
      <c r="C1199" t="s">
        <v>37</v>
      </c>
      <c r="D1199" t="s">
        <v>57</v>
      </c>
      <c r="E1199" t="s">
        <v>58</v>
      </c>
      <c r="F1199">
        <v>24387.42</v>
      </c>
    </row>
    <row r="1200" spans="1:6" x14ac:dyDescent="0.3">
      <c r="A1200">
        <v>2024</v>
      </c>
      <c r="B1200">
        <v>3</v>
      </c>
      <c r="C1200" t="s">
        <v>37</v>
      </c>
      <c r="D1200" t="s">
        <v>57</v>
      </c>
      <c r="E1200" t="s">
        <v>59</v>
      </c>
      <c r="F1200">
        <v>110534.43</v>
      </c>
    </row>
    <row r="1201" spans="1:6" x14ac:dyDescent="0.3">
      <c r="A1201">
        <v>2024</v>
      </c>
      <c r="B1201">
        <v>3</v>
      </c>
      <c r="C1201" t="s">
        <v>37</v>
      </c>
      <c r="D1201" t="s">
        <v>57</v>
      </c>
      <c r="E1201" t="s">
        <v>60</v>
      </c>
      <c r="F1201">
        <v>167211.37</v>
      </c>
    </row>
    <row r="1202" spans="1:6" x14ac:dyDescent="0.3">
      <c r="A1202">
        <v>2024</v>
      </c>
      <c r="B1202">
        <v>4</v>
      </c>
      <c r="C1202" t="s">
        <v>37</v>
      </c>
      <c r="D1202" t="s">
        <v>38</v>
      </c>
      <c r="E1202" t="s">
        <v>39</v>
      </c>
      <c r="F1202">
        <v>99215.1</v>
      </c>
    </row>
    <row r="1203" spans="1:6" x14ac:dyDescent="0.3">
      <c r="A1203">
        <v>2024</v>
      </c>
      <c r="B1203">
        <v>4</v>
      </c>
      <c r="C1203" t="s">
        <v>40</v>
      </c>
      <c r="D1203" t="s">
        <v>38</v>
      </c>
      <c r="E1203" t="s">
        <v>39</v>
      </c>
      <c r="F1203">
        <v>26194.18</v>
      </c>
    </row>
    <row r="1204" spans="1:6" x14ac:dyDescent="0.3">
      <c r="A1204">
        <v>2024</v>
      </c>
      <c r="B1204">
        <v>4</v>
      </c>
      <c r="C1204" t="s">
        <v>41</v>
      </c>
      <c r="D1204" t="s">
        <v>38</v>
      </c>
      <c r="E1204" t="s">
        <v>39</v>
      </c>
      <c r="F1204">
        <v>95517.759999999995</v>
      </c>
    </row>
    <row r="1205" spans="1:6" x14ac:dyDescent="0.3">
      <c r="A1205">
        <v>2024</v>
      </c>
      <c r="B1205">
        <v>4</v>
      </c>
      <c r="C1205" t="s">
        <v>42</v>
      </c>
      <c r="D1205" t="s">
        <v>38</v>
      </c>
      <c r="E1205" t="s">
        <v>39</v>
      </c>
      <c r="F1205">
        <v>35754.129999999997</v>
      </c>
    </row>
    <row r="1206" spans="1:6" x14ac:dyDescent="0.3">
      <c r="A1206">
        <v>2024</v>
      </c>
      <c r="B1206">
        <v>4</v>
      </c>
      <c r="C1206" t="s">
        <v>43</v>
      </c>
      <c r="D1206" t="s">
        <v>38</v>
      </c>
      <c r="E1206" t="s">
        <v>39</v>
      </c>
      <c r="F1206">
        <v>54622.85</v>
      </c>
    </row>
    <row r="1207" spans="1:6" x14ac:dyDescent="0.3">
      <c r="A1207">
        <v>2024</v>
      </c>
      <c r="B1207">
        <v>4</v>
      </c>
      <c r="C1207" t="s">
        <v>44</v>
      </c>
      <c r="D1207" t="s">
        <v>38</v>
      </c>
      <c r="E1207" t="s">
        <v>39</v>
      </c>
      <c r="F1207">
        <v>105906.75</v>
      </c>
    </row>
    <row r="1208" spans="1:6" x14ac:dyDescent="0.3">
      <c r="A1208">
        <v>2024</v>
      </c>
      <c r="B1208">
        <v>4</v>
      </c>
      <c r="C1208" t="s">
        <v>45</v>
      </c>
      <c r="D1208" t="s">
        <v>38</v>
      </c>
      <c r="E1208" t="s">
        <v>39</v>
      </c>
      <c r="F1208">
        <v>87866.02</v>
      </c>
    </row>
    <row r="1209" spans="1:6" x14ac:dyDescent="0.3">
      <c r="A1209">
        <v>2024</v>
      </c>
      <c r="B1209">
        <v>4</v>
      </c>
      <c r="C1209" t="s">
        <v>37</v>
      </c>
      <c r="D1209" t="s">
        <v>38</v>
      </c>
      <c r="E1209" t="s">
        <v>46</v>
      </c>
      <c r="F1209">
        <v>80521.710000000006</v>
      </c>
    </row>
    <row r="1210" spans="1:6" x14ac:dyDescent="0.3">
      <c r="A1210">
        <v>2024</v>
      </c>
      <c r="B1210">
        <v>4</v>
      </c>
      <c r="C1210" t="s">
        <v>40</v>
      </c>
      <c r="D1210" t="s">
        <v>38</v>
      </c>
      <c r="E1210" t="s">
        <v>46</v>
      </c>
      <c r="F1210">
        <v>118039.43</v>
      </c>
    </row>
    <row r="1211" spans="1:6" x14ac:dyDescent="0.3">
      <c r="A1211">
        <v>2024</v>
      </c>
      <c r="B1211">
        <v>4</v>
      </c>
      <c r="C1211" t="s">
        <v>41</v>
      </c>
      <c r="D1211" t="s">
        <v>38</v>
      </c>
      <c r="E1211" t="s">
        <v>46</v>
      </c>
      <c r="F1211">
        <v>83505.33</v>
      </c>
    </row>
    <row r="1212" spans="1:6" x14ac:dyDescent="0.3">
      <c r="A1212">
        <v>2024</v>
      </c>
      <c r="B1212">
        <v>4</v>
      </c>
      <c r="C1212" t="s">
        <v>42</v>
      </c>
      <c r="D1212" t="s">
        <v>38</v>
      </c>
      <c r="E1212" t="s">
        <v>46</v>
      </c>
      <c r="F1212">
        <v>29979.16</v>
      </c>
    </row>
    <row r="1213" spans="1:6" x14ac:dyDescent="0.3">
      <c r="A1213">
        <v>2024</v>
      </c>
      <c r="B1213">
        <v>4</v>
      </c>
      <c r="C1213" t="s">
        <v>43</v>
      </c>
      <c r="D1213" t="s">
        <v>38</v>
      </c>
      <c r="E1213" t="s">
        <v>46</v>
      </c>
      <c r="F1213">
        <v>23751.09</v>
      </c>
    </row>
    <row r="1214" spans="1:6" x14ac:dyDescent="0.3">
      <c r="A1214">
        <v>2024</v>
      </c>
      <c r="B1214">
        <v>4</v>
      </c>
      <c r="C1214" t="s">
        <v>44</v>
      </c>
      <c r="D1214" t="s">
        <v>38</v>
      </c>
      <c r="E1214" t="s">
        <v>46</v>
      </c>
      <c r="F1214">
        <v>15596.99</v>
      </c>
    </row>
    <row r="1215" spans="1:6" x14ac:dyDescent="0.3">
      <c r="A1215">
        <v>2024</v>
      </c>
      <c r="B1215">
        <v>4</v>
      </c>
      <c r="C1215" t="s">
        <v>45</v>
      </c>
      <c r="D1215" t="s">
        <v>38</v>
      </c>
      <c r="E1215" t="s">
        <v>46</v>
      </c>
      <c r="F1215">
        <v>101569.4</v>
      </c>
    </row>
    <row r="1216" spans="1:6" x14ac:dyDescent="0.3">
      <c r="A1216">
        <v>2024</v>
      </c>
      <c r="B1216">
        <v>4</v>
      </c>
      <c r="C1216" t="s">
        <v>37</v>
      </c>
      <c r="D1216" t="s">
        <v>38</v>
      </c>
      <c r="E1216" t="s">
        <v>47</v>
      </c>
      <c r="F1216">
        <v>19464.740000000002</v>
      </c>
    </row>
    <row r="1217" spans="1:6" x14ac:dyDescent="0.3">
      <c r="A1217">
        <v>2024</v>
      </c>
      <c r="B1217">
        <v>4</v>
      </c>
      <c r="C1217" t="s">
        <v>40</v>
      </c>
      <c r="D1217" t="s">
        <v>38</v>
      </c>
      <c r="E1217" t="s">
        <v>47</v>
      </c>
      <c r="F1217">
        <v>83699.42</v>
      </c>
    </row>
    <row r="1218" spans="1:6" x14ac:dyDescent="0.3">
      <c r="A1218">
        <v>2024</v>
      </c>
      <c r="B1218">
        <v>4</v>
      </c>
      <c r="C1218" t="s">
        <v>41</v>
      </c>
      <c r="D1218" t="s">
        <v>38</v>
      </c>
      <c r="E1218" t="s">
        <v>47</v>
      </c>
      <c r="F1218">
        <v>15519.16</v>
      </c>
    </row>
    <row r="1219" spans="1:6" x14ac:dyDescent="0.3">
      <c r="A1219">
        <v>2024</v>
      </c>
      <c r="B1219">
        <v>4</v>
      </c>
      <c r="C1219" t="s">
        <v>42</v>
      </c>
      <c r="D1219" t="s">
        <v>38</v>
      </c>
      <c r="E1219" t="s">
        <v>47</v>
      </c>
      <c r="F1219">
        <v>96643.88</v>
      </c>
    </row>
    <row r="1220" spans="1:6" x14ac:dyDescent="0.3">
      <c r="A1220">
        <v>2024</v>
      </c>
      <c r="B1220">
        <v>4</v>
      </c>
      <c r="C1220" t="s">
        <v>43</v>
      </c>
      <c r="D1220" t="s">
        <v>38</v>
      </c>
      <c r="E1220" t="s">
        <v>47</v>
      </c>
      <c r="F1220">
        <v>117309.11</v>
      </c>
    </row>
    <row r="1221" spans="1:6" x14ac:dyDescent="0.3">
      <c r="A1221">
        <v>2024</v>
      </c>
      <c r="B1221">
        <v>4</v>
      </c>
      <c r="C1221" t="s">
        <v>44</v>
      </c>
      <c r="D1221" t="s">
        <v>38</v>
      </c>
      <c r="E1221" t="s">
        <v>47</v>
      </c>
      <c r="F1221">
        <v>40579.61</v>
      </c>
    </row>
    <row r="1222" spans="1:6" x14ac:dyDescent="0.3">
      <c r="A1222">
        <v>2024</v>
      </c>
      <c r="B1222">
        <v>4</v>
      </c>
      <c r="C1222" t="s">
        <v>45</v>
      </c>
      <c r="D1222" t="s">
        <v>38</v>
      </c>
      <c r="E1222" t="s">
        <v>47</v>
      </c>
      <c r="F1222">
        <v>109719.99</v>
      </c>
    </row>
    <row r="1223" spans="1:6" x14ac:dyDescent="0.3">
      <c r="A1223">
        <v>2024</v>
      </c>
      <c r="B1223">
        <v>4</v>
      </c>
      <c r="C1223" t="s">
        <v>37</v>
      </c>
      <c r="D1223" t="s">
        <v>48</v>
      </c>
      <c r="E1223" t="s">
        <v>49</v>
      </c>
      <c r="F1223">
        <v>91458.87</v>
      </c>
    </row>
    <row r="1224" spans="1:6" x14ac:dyDescent="0.3">
      <c r="A1224">
        <v>2024</v>
      </c>
      <c r="B1224">
        <v>4</v>
      </c>
      <c r="C1224" t="s">
        <v>40</v>
      </c>
      <c r="D1224" t="s">
        <v>48</v>
      </c>
      <c r="E1224" t="s">
        <v>49</v>
      </c>
      <c r="F1224">
        <v>109304.32000000001</v>
      </c>
    </row>
    <row r="1225" spans="1:6" x14ac:dyDescent="0.3">
      <c r="A1225">
        <v>2024</v>
      </c>
      <c r="B1225">
        <v>4</v>
      </c>
      <c r="C1225" t="s">
        <v>41</v>
      </c>
      <c r="D1225" t="s">
        <v>48</v>
      </c>
      <c r="E1225" t="s">
        <v>49</v>
      </c>
      <c r="F1225">
        <v>65654.22</v>
      </c>
    </row>
    <row r="1226" spans="1:6" x14ac:dyDescent="0.3">
      <c r="A1226">
        <v>2024</v>
      </c>
      <c r="B1226">
        <v>4</v>
      </c>
      <c r="C1226" t="s">
        <v>42</v>
      </c>
      <c r="D1226" t="s">
        <v>48</v>
      </c>
      <c r="E1226" t="s">
        <v>49</v>
      </c>
      <c r="F1226">
        <v>39553.449999999997</v>
      </c>
    </row>
    <row r="1227" spans="1:6" x14ac:dyDescent="0.3">
      <c r="A1227">
        <v>2024</v>
      </c>
      <c r="B1227">
        <v>4</v>
      </c>
      <c r="C1227" t="s">
        <v>43</v>
      </c>
      <c r="D1227" t="s">
        <v>48</v>
      </c>
      <c r="E1227" t="s">
        <v>49</v>
      </c>
      <c r="F1227">
        <v>113250.55</v>
      </c>
    </row>
    <row r="1228" spans="1:6" x14ac:dyDescent="0.3">
      <c r="A1228">
        <v>2024</v>
      </c>
      <c r="B1228">
        <v>4</v>
      </c>
      <c r="C1228" t="s">
        <v>44</v>
      </c>
      <c r="D1228" t="s">
        <v>48</v>
      </c>
      <c r="E1228" t="s">
        <v>49</v>
      </c>
      <c r="F1228">
        <v>58032.93</v>
      </c>
    </row>
    <row r="1229" spans="1:6" x14ac:dyDescent="0.3">
      <c r="A1229">
        <v>2024</v>
      </c>
      <c r="B1229">
        <v>4</v>
      </c>
      <c r="C1229" t="s">
        <v>45</v>
      </c>
      <c r="D1229" t="s">
        <v>48</v>
      </c>
      <c r="E1229" t="s">
        <v>49</v>
      </c>
      <c r="F1229">
        <v>89837.23</v>
      </c>
    </row>
    <row r="1230" spans="1:6" x14ac:dyDescent="0.3">
      <c r="A1230">
        <v>2024</v>
      </c>
      <c r="B1230">
        <v>4</v>
      </c>
      <c r="C1230" t="s">
        <v>37</v>
      </c>
      <c r="D1230" t="s">
        <v>48</v>
      </c>
      <c r="E1230" t="s">
        <v>50</v>
      </c>
      <c r="F1230">
        <v>59235.92</v>
      </c>
    </row>
    <row r="1231" spans="1:6" x14ac:dyDescent="0.3">
      <c r="A1231">
        <v>2024</v>
      </c>
      <c r="B1231">
        <v>4</v>
      </c>
      <c r="C1231" t="s">
        <v>40</v>
      </c>
      <c r="D1231" t="s">
        <v>48</v>
      </c>
      <c r="E1231" t="s">
        <v>50</v>
      </c>
      <c r="F1231">
        <v>58443.55</v>
      </c>
    </row>
    <row r="1232" spans="1:6" x14ac:dyDescent="0.3">
      <c r="A1232">
        <v>2024</v>
      </c>
      <c r="B1232">
        <v>4</v>
      </c>
      <c r="C1232" t="s">
        <v>41</v>
      </c>
      <c r="D1232" t="s">
        <v>48</v>
      </c>
      <c r="E1232" t="s">
        <v>50</v>
      </c>
      <c r="F1232">
        <v>116029</v>
      </c>
    </row>
    <row r="1233" spans="1:6" x14ac:dyDescent="0.3">
      <c r="A1233">
        <v>2024</v>
      </c>
      <c r="B1233">
        <v>4</v>
      </c>
      <c r="C1233" t="s">
        <v>42</v>
      </c>
      <c r="D1233" t="s">
        <v>48</v>
      </c>
      <c r="E1233" t="s">
        <v>50</v>
      </c>
      <c r="F1233">
        <v>69361.73</v>
      </c>
    </row>
    <row r="1234" spans="1:6" x14ac:dyDescent="0.3">
      <c r="A1234">
        <v>2024</v>
      </c>
      <c r="B1234">
        <v>4</v>
      </c>
      <c r="C1234" t="s">
        <v>43</v>
      </c>
      <c r="D1234" t="s">
        <v>48</v>
      </c>
      <c r="E1234" t="s">
        <v>50</v>
      </c>
      <c r="F1234">
        <v>39366.44</v>
      </c>
    </row>
    <row r="1235" spans="1:6" x14ac:dyDescent="0.3">
      <c r="A1235">
        <v>2024</v>
      </c>
      <c r="B1235">
        <v>4</v>
      </c>
      <c r="C1235" t="s">
        <v>44</v>
      </c>
      <c r="D1235" t="s">
        <v>48</v>
      </c>
      <c r="E1235" t="s">
        <v>50</v>
      </c>
      <c r="F1235">
        <v>82652.38</v>
      </c>
    </row>
    <row r="1236" spans="1:6" x14ac:dyDescent="0.3">
      <c r="A1236">
        <v>2024</v>
      </c>
      <c r="B1236">
        <v>4</v>
      </c>
      <c r="C1236" t="s">
        <v>45</v>
      </c>
      <c r="D1236" t="s">
        <v>48</v>
      </c>
      <c r="E1236" t="s">
        <v>50</v>
      </c>
      <c r="F1236">
        <v>65175.24</v>
      </c>
    </row>
    <row r="1237" spans="1:6" x14ac:dyDescent="0.3">
      <c r="A1237">
        <v>2024</v>
      </c>
      <c r="B1237">
        <v>4</v>
      </c>
      <c r="C1237" t="s">
        <v>37</v>
      </c>
      <c r="D1237" t="s">
        <v>48</v>
      </c>
      <c r="E1237" t="s">
        <v>51</v>
      </c>
      <c r="F1237">
        <v>108204.43</v>
      </c>
    </row>
    <row r="1238" spans="1:6" x14ac:dyDescent="0.3">
      <c r="A1238">
        <v>2024</v>
      </c>
      <c r="B1238">
        <v>4</v>
      </c>
      <c r="C1238" t="s">
        <v>40</v>
      </c>
      <c r="D1238" t="s">
        <v>48</v>
      </c>
      <c r="E1238" t="s">
        <v>51</v>
      </c>
      <c r="F1238">
        <v>52787.61</v>
      </c>
    </row>
    <row r="1239" spans="1:6" x14ac:dyDescent="0.3">
      <c r="A1239">
        <v>2024</v>
      </c>
      <c r="B1239">
        <v>4</v>
      </c>
      <c r="C1239" t="s">
        <v>41</v>
      </c>
      <c r="D1239" t="s">
        <v>48</v>
      </c>
      <c r="E1239" t="s">
        <v>51</v>
      </c>
      <c r="F1239">
        <v>108012.84</v>
      </c>
    </row>
    <row r="1240" spans="1:6" x14ac:dyDescent="0.3">
      <c r="A1240">
        <v>2024</v>
      </c>
      <c r="B1240">
        <v>4</v>
      </c>
      <c r="C1240" t="s">
        <v>42</v>
      </c>
      <c r="D1240" t="s">
        <v>48</v>
      </c>
      <c r="E1240" t="s">
        <v>51</v>
      </c>
      <c r="F1240">
        <v>110856.07</v>
      </c>
    </row>
    <row r="1241" spans="1:6" x14ac:dyDescent="0.3">
      <c r="A1241">
        <v>2024</v>
      </c>
      <c r="B1241">
        <v>4</v>
      </c>
      <c r="C1241" t="s">
        <v>43</v>
      </c>
      <c r="D1241" t="s">
        <v>48</v>
      </c>
      <c r="E1241" t="s">
        <v>51</v>
      </c>
      <c r="F1241">
        <v>105231.71</v>
      </c>
    </row>
    <row r="1242" spans="1:6" x14ac:dyDescent="0.3">
      <c r="A1242">
        <v>2024</v>
      </c>
      <c r="B1242">
        <v>4</v>
      </c>
      <c r="C1242" t="s">
        <v>44</v>
      </c>
      <c r="D1242" t="s">
        <v>48</v>
      </c>
      <c r="E1242" t="s">
        <v>51</v>
      </c>
      <c r="F1242">
        <v>52627.12</v>
      </c>
    </row>
    <row r="1243" spans="1:6" x14ac:dyDescent="0.3">
      <c r="A1243">
        <v>2024</v>
      </c>
      <c r="B1243">
        <v>4</v>
      </c>
      <c r="C1243" t="s">
        <v>45</v>
      </c>
      <c r="D1243" t="s">
        <v>48</v>
      </c>
      <c r="E1243" t="s">
        <v>51</v>
      </c>
      <c r="F1243">
        <v>69313.53</v>
      </c>
    </row>
    <row r="1244" spans="1:6" x14ac:dyDescent="0.3">
      <c r="A1244">
        <v>2024</v>
      </c>
      <c r="B1244">
        <v>4</v>
      </c>
      <c r="C1244" t="s">
        <v>37</v>
      </c>
      <c r="D1244" t="s">
        <v>48</v>
      </c>
      <c r="E1244" t="s">
        <v>52</v>
      </c>
      <c r="F1244">
        <v>27611.84</v>
      </c>
    </row>
    <row r="1245" spans="1:6" x14ac:dyDescent="0.3">
      <c r="A1245">
        <v>2024</v>
      </c>
      <c r="B1245">
        <v>4</v>
      </c>
      <c r="C1245" t="s">
        <v>40</v>
      </c>
      <c r="D1245" t="s">
        <v>48</v>
      </c>
      <c r="E1245" t="s">
        <v>52</v>
      </c>
      <c r="F1245">
        <v>53330.35</v>
      </c>
    </row>
    <row r="1246" spans="1:6" x14ac:dyDescent="0.3">
      <c r="A1246">
        <v>2024</v>
      </c>
      <c r="B1246">
        <v>4</v>
      </c>
      <c r="C1246" t="s">
        <v>41</v>
      </c>
      <c r="D1246" t="s">
        <v>48</v>
      </c>
      <c r="E1246" t="s">
        <v>52</v>
      </c>
      <c r="F1246">
        <v>37408.49</v>
      </c>
    </row>
    <row r="1247" spans="1:6" x14ac:dyDescent="0.3">
      <c r="A1247">
        <v>2024</v>
      </c>
      <c r="B1247">
        <v>4</v>
      </c>
      <c r="C1247" t="s">
        <v>42</v>
      </c>
      <c r="D1247" t="s">
        <v>48</v>
      </c>
      <c r="E1247" t="s">
        <v>52</v>
      </c>
      <c r="F1247">
        <v>15079.55</v>
      </c>
    </row>
    <row r="1248" spans="1:6" x14ac:dyDescent="0.3">
      <c r="A1248">
        <v>2024</v>
      </c>
      <c r="B1248">
        <v>4</v>
      </c>
      <c r="C1248" t="s">
        <v>43</v>
      </c>
      <c r="D1248" t="s">
        <v>48</v>
      </c>
      <c r="E1248" t="s">
        <v>52</v>
      </c>
      <c r="F1248">
        <v>64816.85</v>
      </c>
    </row>
    <row r="1249" spans="1:6" x14ac:dyDescent="0.3">
      <c r="A1249">
        <v>2024</v>
      </c>
      <c r="B1249">
        <v>4</v>
      </c>
      <c r="C1249" t="s">
        <v>44</v>
      </c>
      <c r="D1249" t="s">
        <v>48</v>
      </c>
      <c r="E1249" t="s">
        <v>52</v>
      </c>
      <c r="F1249">
        <v>103235.98</v>
      </c>
    </row>
    <row r="1250" spans="1:6" x14ac:dyDescent="0.3">
      <c r="A1250">
        <v>2024</v>
      </c>
      <c r="B1250">
        <v>4</v>
      </c>
      <c r="C1250" t="s">
        <v>45</v>
      </c>
      <c r="D1250" t="s">
        <v>48</v>
      </c>
      <c r="E1250" t="s">
        <v>52</v>
      </c>
      <c r="F1250">
        <v>65649.5</v>
      </c>
    </row>
    <row r="1251" spans="1:6" x14ac:dyDescent="0.3">
      <c r="A1251">
        <v>2024</v>
      </c>
      <c r="B1251">
        <v>4</v>
      </c>
      <c r="C1251" t="s">
        <v>37</v>
      </c>
      <c r="D1251" t="s">
        <v>48</v>
      </c>
      <c r="E1251" t="s">
        <v>53</v>
      </c>
      <c r="F1251">
        <v>41866.660000000003</v>
      </c>
    </row>
    <row r="1252" spans="1:6" x14ac:dyDescent="0.3">
      <c r="A1252">
        <v>2024</v>
      </c>
      <c r="B1252">
        <v>4</v>
      </c>
      <c r="C1252" t="s">
        <v>40</v>
      </c>
      <c r="D1252" t="s">
        <v>48</v>
      </c>
      <c r="E1252" t="s">
        <v>53</v>
      </c>
      <c r="F1252">
        <v>58239.38</v>
      </c>
    </row>
    <row r="1253" spans="1:6" x14ac:dyDescent="0.3">
      <c r="A1253">
        <v>2024</v>
      </c>
      <c r="B1253">
        <v>4</v>
      </c>
      <c r="C1253" t="s">
        <v>41</v>
      </c>
      <c r="D1253" t="s">
        <v>48</v>
      </c>
      <c r="E1253" t="s">
        <v>53</v>
      </c>
      <c r="F1253">
        <v>27493.9</v>
      </c>
    </row>
    <row r="1254" spans="1:6" x14ac:dyDescent="0.3">
      <c r="A1254">
        <v>2024</v>
      </c>
      <c r="B1254">
        <v>4</v>
      </c>
      <c r="C1254" t="s">
        <v>42</v>
      </c>
      <c r="D1254" t="s">
        <v>48</v>
      </c>
      <c r="E1254" t="s">
        <v>53</v>
      </c>
      <c r="F1254">
        <v>51872.32</v>
      </c>
    </row>
    <row r="1255" spans="1:6" x14ac:dyDescent="0.3">
      <c r="A1255">
        <v>2024</v>
      </c>
      <c r="B1255">
        <v>4</v>
      </c>
      <c r="C1255" t="s">
        <v>43</v>
      </c>
      <c r="D1255" t="s">
        <v>48</v>
      </c>
      <c r="E1255" t="s">
        <v>53</v>
      </c>
      <c r="F1255">
        <v>57705.13</v>
      </c>
    </row>
    <row r="1256" spans="1:6" x14ac:dyDescent="0.3">
      <c r="A1256">
        <v>2024</v>
      </c>
      <c r="B1256">
        <v>4</v>
      </c>
      <c r="C1256" t="s">
        <v>44</v>
      </c>
      <c r="D1256" t="s">
        <v>48</v>
      </c>
      <c r="E1256" t="s">
        <v>53</v>
      </c>
      <c r="F1256">
        <v>75037.84</v>
      </c>
    </row>
    <row r="1257" spans="1:6" x14ac:dyDescent="0.3">
      <c r="A1257">
        <v>2024</v>
      </c>
      <c r="B1257">
        <v>4</v>
      </c>
      <c r="C1257" t="s">
        <v>45</v>
      </c>
      <c r="D1257" t="s">
        <v>48</v>
      </c>
      <c r="E1257" t="s">
        <v>53</v>
      </c>
      <c r="F1257">
        <v>38046.339999999997</v>
      </c>
    </row>
    <row r="1258" spans="1:6" x14ac:dyDescent="0.3">
      <c r="A1258">
        <v>2024</v>
      </c>
      <c r="B1258">
        <v>4</v>
      </c>
      <c r="C1258" t="s">
        <v>37</v>
      </c>
      <c r="D1258" t="s">
        <v>48</v>
      </c>
      <c r="E1258" t="s">
        <v>54</v>
      </c>
      <c r="F1258">
        <v>73697.009999999995</v>
      </c>
    </row>
    <row r="1259" spans="1:6" x14ac:dyDescent="0.3">
      <c r="A1259">
        <v>2024</v>
      </c>
      <c r="B1259">
        <v>4</v>
      </c>
      <c r="C1259" t="s">
        <v>40</v>
      </c>
      <c r="D1259" t="s">
        <v>48</v>
      </c>
      <c r="E1259" t="s">
        <v>54</v>
      </c>
      <c r="F1259">
        <v>63072.01</v>
      </c>
    </row>
    <row r="1260" spans="1:6" x14ac:dyDescent="0.3">
      <c r="A1260">
        <v>2024</v>
      </c>
      <c r="B1260">
        <v>4</v>
      </c>
      <c r="C1260" t="s">
        <v>41</v>
      </c>
      <c r="D1260" t="s">
        <v>48</v>
      </c>
      <c r="E1260" t="s">
        <v>54</v>
      </c>
      <c r="F1260">
        <v>22959.08</v>
      </c>
    </row>
    <row r="1261" spans="1:6" x14ac:dyDescent="0.3">
      <c r="A1261">
        <v>2024</v>
      </c>
      <c r="B1261">
        <v>4</v>
      </c>
      <c r="C1261" t="s">
        <v>42</v>
      </c>
      <c r="D1261" t="s">
        <v>48</v>
      </c>
      <c r="E1261" t="s">
        <v>54</v>
      </c>
      <c r="F1261">
        <v>10092.42</v>
      </c>
    </row>
    <row r="1262" spans="1:6" x14ac:dyDescent="0.3">
      <c r="A1262">
        <v>2024</v>
      </c>
      <c r="B1262">
        <v>4</v>
      </c>
      <c r="C1262" t="s">
        <v>43</v>
      </c>
      <c r="D1262" t="s">
        <v>48</v>
      </c>
      <c r="E1262" t="s">
        <v>54</v>
      </c>
      <c r="F1262">
        <v>76226.990000000005</v>
      </c>
    </row>
    <row r="1263" spans="1:6" x14ac:dyDescent="0.3">
      <c r="A1263">
        <v>2024</v>
      </c>
      <c r="B1263">
        <v>4</v>
      </c>
      <c r="C1263" t="s">
        <v>44</v>
      </c>
      <c r="D1263" t="s">
        <v>48</v>
      </c>
      <c r="E1263" t="s">
        <v>54</v>
      </c>
      <c r="F1263">
        <v>108091.09</v>
      </c>
    </row>
    <row r="1264" spans="1:6" x14ac:dyDescent="0.3">
      <c r="A1264">
        <v>2024</v>
      </c>
      <c r="B1264">
        <v>4</v>
      </c>
      <c r="C1264" t="s">
        <v>45</v>
      </c>
      <c r="D1264" t="s">
        <v>48</v>
      </c>
      <c r="E1264" t="s">
        <v>54</v>
      </c>
      <c r="F1264">
        <v>67587.53</v>
      </c>
    </row>
    <row r="1265" spans="1:6" x14ac:dyDescent="0.3">
      <c r="A1265">
        <v>2024</v>
      </c>
      <c r="B1265">
        <v>4</v>
      </c>
      <c r="C1265" t="s">
        <v>37</v>
      </c>
      <c r="D1265" t="s">
        <v>48</v>
      </c>
      <c r="E1265" t="s">
        <v>55</v>
      </c>
      <c r="F1265">
        <v>61998.06</v>
      </c>
    </row>
    <row r="1266" spans="1:6" x14ac:dyDescent="0.3">
      <c r="A1266">
        <v>2024</v>
      </c>
      <c r="B1266">
        <v>4</v>
      </c>
      <c r="C1266" t="s">
        <v>40</v>
      </c>
      <c r="D1266" t="s">
        <v>48</v>
      </c>
      <c r="E1266" t="s">
        <v>55</v>
      </c>
      <c r="F1266">
        <v>65985.69</v>
      </c>
    </row>
    <row r="1267" spans="1:6" x14ac:dyDescent="0.3">
      <c r="A1267">
        <v>2024</v>
      </c>
      <c r="B1267">
        <v>4</v>
      </c>
      <c r="C1267" t="s">
        <v>41</v>
      </c>
      <c r="D1267" t="s">
        <v>48</v>
      </c>
      <c r="E1267" t="s">
        <v>55</v>
      </c>
      <c r="F1267">
        <v>118790.81</v>
      </c>
    </row>
    <row r="1268" spans="1:6" x14ac:dyDescent="0.3">
      <c r="A1268">
        <v>2024</v>
      </c>
      <c r="B1268">
        <v>4</v>
      </c>
      <c r="C1268" t="s">
        <v>42</v>
      </c>
      <c r="D1268" t="s">
        <v>48</v>
      </c>
      <c r="E1268" t="s">
        <v>55</v>
      </c>
      <c r="F1268">
        <v>33414.31</v>
      </c>
    </row>
    <row r="1269" spans="1:6" x14ac:dyDescent="0.3">
      <c r="A1269">
        <v>2024</v>
      </c>
      <c r="B1269">
        <v>4</v>
      </c>
      <c r="C1269" t="s">
        <v>43</v>
      </c>
      <c r="D1269" t="s">
        <v>48</v>
      </c>
      <c r="E1269" t="s">
        <v>55</v>
      </c>
      <c r="F1269">
        <v>99800.38</v>
      </c>
    </row>
    <row r="1270" spans="1:6" x14ac:dyDescent="0.3">
      <c r="A1270">
        <v>2024</v>
      </c>
      <c r="B1270">
        <v>4</v>
      </c>
      <c r="C1270" t="s">
        <v>44</v>
      </c>
      <c r="D1270" t="s">
        <v>48</v>
      </c>
      <c r="E1270" t="s">
        <v>55</v>
      </c>
      <c r="F1270">
        <v>82634.929999999993</v>
      </c>
    </row>
    <row r="1271" spans="1:6" x14ac:dyDescent="0.3">
      <c r="A1271">
        <v>2024</v>
      </c>
      <c r="B1271">
        <v>4</v>
      </c>
      <c r="C1271" t="s">
        <v>45</v>
      </c>
      <c r="D1271" t="s">
        <v>48</v>
      </c>
      <c r="E1271" t="s">
        <v>55</v>
      </c>
      <c r="F1271">
        <v>17377.55</v>
      </c>
    </row>
    <row r="1272" spans="1:6" x14ac:dyDescent="0.3">
      <c r="A1272">
        <v>2024</v>
      </c>
      <c r="B1272">
        <v>4</v>
      </c>
      <c r="C1272" t="s">
        <v>37</v>
      </c>
      <c r="D1272" t="s">
        <v>48</v>
      </c>
      <c r="E1272" t="s">
        <v>56</v>
      </c>
      <c r="F1272">
        <v>106669.6</v>
      </c>
    </row>
    <row r="1273" spans="1:6" x14ac:dyDescent="0.3">
      <c r="A1273">
        <v>2024</v>
      </c>
      <c r="B1273">
        <v>4</v>
      </c>
      <c r="C1273" t="s">
        <v>40</v>
      </c>
      <c r="D1273" t="s">
        <v>48</v>
      </c>
      <c r="E1273" t="s">
        <v>56</v>
      </c>
      <c r="F1273">
        <v>118432.53</v>
      </c>
    </row>
    <row r="1274" spans="1:6" x14ac:dyDescent="0.3">
      <c r="A1274">
        <v>2024</v>
      </c>
      <c r="B1274">
        <v>4</v>
      </c>
      <c r="C1274" t="s">
        <v>41</v>
      </c>
      <c r="D1274" t="s">
        <v>48</v>
      </c>
      <c r="E1274" t="s">
        <v>56</v>
      </c>
      <c r="F1274">
        <v>95847.13</v>
      </c>
    </row>
    <row r="1275" spans="1:6" x14ac:dyDescent="0.3">
      <c r="A1275">
        <v>2024</v>
      </c>
      <c r="B1275">
        <v>4</v>
      </c>
      <c r="C1275" t="s">
        <v>42</v>
      </c>
      <c r="D1275" t="s">
        <v>48</v>
      </c>
      <c r="E1275" t="s">
        <v>56</v>
      </c>
      <c r="F1275">
        <v>13390.88</v>
      </c>
    </row>
    <row r="1276" spans="1:6" x14ac:dyDescent="0.3">
      <c r="A1276">
        <v>2024</v>
      </c>
      <c r="B1276">
        <v>4</v>
      </c>
      <c r="C1276" t="s">
        <v>43</v>
      </c>
      <c r="D1276" t="s">
        <v>48</v>
      </c>
      <c r="E1276" t="s">
        <v>56</v>
      </c>
      <c r="F1276">
        <v>14837.43</v>
      </c>
    </row>
    <row r="1277" spans="1:6" x14ac:dyDescent="0.3">
      <c r="A1277">
        <v>2024</v>
      </c>
      <c r="B1277">
        <v>4</v>
      </c>
      <c r="C1277" t="s">
        <v>44</v>
      </c>
      <c r="D1277" t="s">
        <v>48</v>
      </c>
      <c r="E1277" t="s">
        <v>56</v>
      </c>
      <c r="F1277">
        <v>65410.74</v>
      </c>
    </row>
    <row r="1278" spans="1:6" x14ac:dyDescent="0.3">
      <c r="A1278">
        <v>2024</v>
      </c>
      <c r="B1278">
        <v>4</v>
      </c>
      <c r="C1278" t="s">
        <v>45</v>
      </c>
      <c r="D1278" t="s">
        <v>48</v>
      </c>
      <c r="E1278" t="s">
        <v>56</v>
      </c>
      <c r="F1278">
        <v>79054.41</v>
      </c>
    </row>
    <row r="1279" spans="1:6" x14ac:dyDescent="0.3">
      <c r="A1279">
        <v>2024</v>
      </c>
      <c r="B1279">
        <v>4</v>
      </c>
      <c r="C1279" t="s">
        <v>37</v>
      </c>
      <c r="D1279" t="s">
        <v>57</v>
      </c>
      <c r="E1279" t="s">
        <v>58</v>
      </c>
      <c r="F1279">
        <v>144396.91</v>
      </c>
    </row>
    <row r="1280" spans="1:6" x14ac:dyDescent="0.3">
      <c r="A1280">
        <v>2024</v>
      </c>
      <c r="B1280">
        <v>4</v>
      </c>
      <c r="C1280" t="s">
        <v>37</v>
      </c>
      <c r="D1280" t="s">
        <v>57</v>
      </c>
      <c r="E1280" t="s">
        <v>59</v>
      </c>
      <c r="F1280">
        <v>91051.91</v>
      </c>
    </row>
    <row r="1281" spans="1:6" x14ac:dyDescent="0.3">
      <c r="A1281">
        <v>2024</v>
      </c>
      <c r="B1281">
        <v>4</v>
      </c>
      <c r="C1281" t="s">
        <v>37</v>
      </c>
      <c r="D1281" t="s">
        <v>57</v>
      </c>
      <c r="E1281" t="s">
        <v>60</v>
      </c>
      <c r="F1281">
        <v>103852.12</v>
      </c>
    </row>
    <row r="1282" spans="1:6" x14ac:dyDescent="0.3">
      <c r="A1282">
        <v>2024</v>
      </c>
      <c r="B1282">
        <v>5</v>
      </c>
      <c r="C1282" t="s">
        <v>37</v>
      </c>
      <c r="D1282" t="s">
        <v>38</v>
      </c>
      <c r="E1282" t="s">
        <v>39</v>
      </c>
      <c r="F1282">
        <v>34068.300000000003</v>
      </c>
    </row>
    <row r="1283" spans="1:6" x14ac:dyDescent="0.3">
      <c r="A1283">
        <v>2024</v>
      </c>
      <c r="B1283">
        <v>5</v>
      </c>
      <c r="C1283" t="s">
        <v>40</v>
      </c>
      <c r="D1283" t="s">
        <v>38</v>
      </c>
      <c r="E1283" t="s">
        <v>39</v>
      </c>
      <c r="F1283">
        <v>49971.64</v>
      </c>
    </row>
    <row r="1284" spans="1:6" x14ac:dyDescent="0.3">
      <c r="A1284">
        <v>2024</v>
      </c>
      <c r="B1284">
        <v>5</v>
      </c>
      <c r="C1284" t="s">
        <v>41</v>
      </c>
      <c r="D1284" t="s">
        <v>38</v>
      </c>
      <c r="E1284" t="s">
        <v>39</v>
      </c>
      <c r="F1284">
        <v>112543.47</v>
      </c>
    </row>
    <row r="1285" spans="1:6" x14ac:dyDescent="0.3">
      <c r="A1285">
        <v>2024</v>
      </c>
      <c r="B1285">
        <v>5</v>
      </c>
      <c r="C1285" t="s">
        <v>42</v>
      </c>
      <c r="D1285" t="s">
        <v>38</v>
      </c>
      <c r="E1285" t="s">
        <v>39</v>
      </c>
      <c r="F1285">
        <v>68214.17</v>
      </c>
    </row>
    <row r="1286" spans="1:6" x14ac:dyDescent="0.3">
      <c r="A1286">
        <v>2024</v>
      </c>
      <c r="B1286">
        <v>5</v>
      </c>
      <c r="C1286" t="s">
        <v>43</v>
      </c>
      <c r="D1286" t="s">
        <v>38</v>
      </c>
      <c r="E1286" t="s">
        <v>39</v>
      </c>
      <c r="F1286">
        <v>98044.7</v>
      </c>
    </row>
    <row r="1287" spans="1:6" x14ac:dyDescent="0.3">
      <c r="A1287">
        <v>2024</v>
      </c>
      <c r="B1287">
        <v>5</v>
      </c>
      <c r="C1287" t="s">
        <v>44</v>
      </c>
      <c r="D1287" t="s">
        <v>38</v>
      </c>
      <c r="E1287" t="s">
        <v>39</v>
      </c>
      <c r="F1287">
        <v>48900.59</v>
      </c>
    </row>
    <row r="1288" spans="1:6" x14ac:dyDescent="0.3">
      <c r="A1288">
        <v>2024</v>
      </c>
      <c r="B1288">
        <v>5</v>
      </c>
      <c r="C1288" t="s">
        <v>45</v>
      </c>
      <c r="D1288" t="s">
        <v>38</v>
      </c>
      <c r="E1288" t="s">
        <v>39</v>
      </c>
      <c r="F1288">
        <v>60190.42</v>
      </c>
    </row>
    <row r="1289" spans="1:6" x14ac:dyDescent="0.3">
      <c r="A1289">
        <v>2024</v>
      </c>
      <c r="B1289">
        <v>5</v>
      </c>
      <c r="C1289" t="s">
        <v>37</v>
      </c>
      <c r="D1289" t="s">
        <v>38</v>
      </c>
      <c r="E1289" t="s">
        <v>46</v>
      </c>
      <c r="F1289">
        <v>101794.77</v>
      </c>
    </row>
    <row r="1290" spans="1:6" x14ac:dyDescent="0.3">
      <c r="A1290">
        <v>2024</v>
      </c>
      <c r="B1290">
        <v>5</v>
      </c>
      <c r="C1290" t="s">
        <v>40</v>
      </c>
      <c r="D1290" t="s">
        <v>38</v>
      </c>
      <c r="E1290" t="s">
        <v>46</v>
      </c>
      <c r="F1290">
        <v>39251.040000000001</v>
      </c>
    </row>
    <row r="1291" spans="1:6" x14ac:dyDescent="0.3">
      <c r="A1291">
        <v>2024</v>
      </c>
      <c r="B1291">
        <v>5</v>
      </c>
      <c r="C1291" t="s">
        <v>41</v>
      </c>
      <c r="D1291" t="s">
        <v>38</v>
      </c>
      <c r="E1291" t="s">
        <v>46</v>
      </c>
      <c r="F1291">
        <v>89153.44</v>
      </c>
    </row>
    <row r="1292" spans="1:6" x14ac:dyDescent="0.3">
      <c r="A1292">
        <v>2024</v>
      </c>
      <c r="B1292">
        <v>5</v>
      </c>
      <c r="C1292" t="s">
        <v>42</v>
      </c>
      <c r="D1292" t="s">
        <v>38</v>
      </c>
      <c r="E1292" t="s">
        <v>46</v>
      </c>
      <c r="F1292">
        <v>65140.72</v>
      </c>
    </row>
    <row r="1293" spans="1:6" x14ac:dyDescent="0.3">
      <c r="A1293">
        <v>2024</v>
      </c>
      <c r="B1293">
        <v>5</v>
      </c>
      <c r="C1293" t="s">
        <v>43</v>
      </c>
      <c r="D1293" t="s">
        <v>38</v>
      </c>
      <c r="E1293" t="s">
        <v>46</v>
      </c>
      <c r="F1293">
        <v>55637.41</v>
      </c>
    </row>
    <row r="1294" spans="1:6" x14ac:dyDescent="0.3">
      <c r="A1294">
        <v>2024</v>
      </c>
      <c r="B1294">
        <v>5</v>
      </c>
      <c r="C1294" t="s">
        <v>44</v>
      </c>
      <c r="D1294" t="s">
        <v>38</v>
      </c>
      <c r="E1294" t="s">
        <v>46</v>
      </c>
      <c r="F1294">
        <v>45572.160000000003</v>
      </c>
    </row>
    <row r="1295" spans="1:6" x14ac:dyDescent="0.3">
      <c r="A1295">
        <v>2024</v>
      </c>
      <c r="B1295">
        <v>5</v>
      </c>
      <c r="C1295" t="s">
        <v>45</v>
      </c>
      <c r="D1295" t="s">
        <v>38</v>
      </c>
      <c r="E1295" t="s">
        <v>46</v>
      </c>
      <c r="F1295">
        <v>82240.39</v>
      </c>
    </row>
    <row r="1296" spans="1:6" x14ac:dyDescent="0.3">
      <c r="A1296">
        <v>2024</v>
      </c>
      <c r="B1296">
        <v>5</v>
      </c>
      <c r="C1296" t="s">
        <v>37</v>
      </c>
      <c r="D1296" t="s">
        <v>38</v>
      </c>
      <c r="E1296" t="s">
        <v>47</v>
      </c>
      <c r="F1296">
        <v>27713.65</v>
      </c>
    </row>
    <row r="1297" spans="1:6" x14ac:dyDescent="0.3">
      <c r="A1297">
        <v>2024</v>
      </c>
      <c r="B1297">
        <v>5</v>
      </c>
      <c r="C1297" t="s">
        <v>40</v>
      </c>
      <c r="D1297" t="s">
        <v>38</v>
      </c>
      <c r="E1297" t="s">
        <v>47</v>
      </c>
      <c r="F1297">
        <v>111602.73</v>
      </c>
    </row>
    <row r="1298" spans="1:6" x14ac:dyDescent="0.3">
      <c r="A1298">
        <v>2024</v>
      </c>
      <c r="B1298">
        <v>5</v>
      </c>
      <c r="C1298" t="s">
        <v>41</v>
      </c>
      <c r="D1298" t="s">
        <v>38</v>
      </c>
      <c r="E1298" t="s">
        <v>47</v>
      </c>
      <c r="F1298">
        <v>59513.15</v>
      </c>
    </row>
    <row r="1299" spans="1:6" x14ac:dyDescent="0.3">
      <c r="A1299">
        <v>2024</v>
      </c>
      <c r="B1299">
        <v>5</v>
      </c>
      <c r="C1299" t="s">
        <v>42</v>
      </c>
      <c r="D1299" t="s">
        <v>38</v>
      </c>
      <c r="E1299" t="s">
        <v>47</v>
      </c>
      <c r="F1299">
        <v>78552.56</v>
      </c>
    </row>
    <row r="1300" spans="1:6" x14ac:dyDescent="0.3">
      <c r="A1300">
        <v>2024</v>
      </c>
      <c r="B1300">
        <v>5</v>
      </c>
      <c r="C1300" t="s">
        <v>43</v>
      </c>
      <c r="D1300" t="s">
        <v>38</v>
      </c>
      <c r="E1300" t="s">
        <v>47</v>
      </c>
      <c r="F1300">
        <v>40319.22</v>
      </c>
    </row>
    <row r="1301" spans="1:6" x14ac:dyDescent="0.3">
      <c r="A1301">
        <v>2024</v>
      </c>
      <c r="B1301">
        <v>5</v>
      </c>
      <c r="C1301" t="s">
        <v>44</v>
      </c>
      <c r="D1301" t="s">
        <v>38</v>
      </c>
      <c r="E1301" t="s">
        <v>47</v>
      </c>
      <c r="F1301">
        <v>38912.959999999999</v>
      </c>
    </row>
    <row r="1302" spans="1:6" x14ac:dyDescent="0.3">
      <c r="A1302">
        <v>2024</v>
      </c>
      <c r="B1302">
        <v>5</v>
      </c>
      <c r="C1302" t="s">
        <v>45</v>
      </c>
      <c r="D1302" t="s">
        <v>38</v>
      </c>
      <c r="E1302" t="s">
        <v>47</v>
      </c>
      <c r="F1302">
        <v>70082.78</v>
      </c>
    </row>
    <row r="1303" spans="1:6" x14ac:dyDescent="0.3">
      <c r="A1303">
        <v>2024</v>
      </c>
      <c r="B1303">
        <v>5</v>
      </c>
      <c r="C1303" t="s">
        <v>37</v>
      </c>
      <c r="D1303" t="s">
        <v>48</v>
      </c>
      <c r="E1303" t="s">
        <v>49</v>
      </c>
      <c r="F1303">
        <v>95862.28</v>
      </c>
    </row>
    <row r="1304" spans="1:6" x14ac:dyDescent="0.3">
      <c r="A1304">
        <v>2024</v>
      </c>
      <c r="B1304">
        <v>5</v>
      </c>
      <c r="C1304" t="s">
        <v>40</v>
      </c>
      <c r="D1304" t="s">
        <v>48</v>
      </c>
      <c r="E1304" t="s">
        <v>49</v>
      </c>
      <c r="F1304">
        <v>96560.14</v>
      </c>
    </row>
    <row r="1305" spans="1:6" x14ac:dyDescent="0.3">
      <c r="A1305">
        <v>2024</v>
      </c>
      <c r="B1305">
        <v>5</v>
      </c>
      <c r="C1305" t="s">
        <v>41</v>
      </c>
      <c r="D1305" t="s">
        <v>48</v>
      </c>
      <c r="E1305" t="s">
        <v>49</v>
      </c>
      <c r="F1305">
        <v>50013.25</v>
      </c>
    </row>
    <row r="1306" spans="1:6" x14ac:dyDescent="0.3">
      <c r="A1306">
        <v>2024</v>
      </c>
      <c r="B1306">
        <v>5</v>
      </c>
      <c r="C1306" t="s">
        <v>42</v>
      </c>
      <c r="D1306" t="s">
        <v>48</v>
      </c>
      <c r="E1306" t="s">
        <v>49</v>
      </c>
      <c r="F1306">
        <v>67880.52</v>
      </c>
    </row>
    <row r="1307" spans="1:6" x14ac:dyDescent="0.3">
      <c r="A1307">
        <v>2024</v>
      </c>
      <c r="B1307">
        <v>5</v>
      </c>
      <c r="C1307" t="s">
        <v>43</v>
      </c>
      <c r="D1307" t="s">
        <v>48</v>
      </c>
      <c r="E1307" t="s">
        <v>49</v>
      </c>
      <c r="F1307">
        <v>22324.21</v>
      </c>
    </row>
    <row r="1308" spans="1:6" x14ac:dyDescent="0.3">
      <c r="A1308">
        <v>2024</v>
      </c>
      <c r="B1308">
        <v>5</v>
      </c>
      <c r="C1308" t="s">
        <v>44</v>
      </c>
      <c r="D1308" t="s">
        <v>48</v>
      </c>
      <c r="E1308" t="s">
        <v>49</v>
      </c>
      <c r="F1308">
        <v>59837.34</v>
      </c>
    </row>
    <row r="1309" spans="1:6" x14ac:dyDescent="0.3">
      <c r="A1309">
        <v>2024</v>
      </c>
      <c r="B1309">
        <v>5</v>
      </c>
      <c r="C1309" t="s">
        <v>45</v>
      </c>
      <c r="D1309" t="s">
        <v>48</v>
      </c>
      <c r="E1309" t="s">
        <v>49</v>
      </c>
      <c r="F1309">
        <v>61037.279999999999</v>
      </c>
    </row>
    <row r="1310" spans="1:6" x14ac:dyDescent="0.3">
      <c r="A1310">
        <v>2024</v>
      </c>
      <c r="B1310">
        <v>5</v>
      </c>
      <c r="C1310" t="s">
        <v>37</v>
      </c>
      <c r="D1310" t="s">
        <v>48</v>
      </c>
      <c r="E1310" t="s">
        <v>50</v>
      </c>
      <c r="F1310">
        <v>23494.03</v>
      </c>
    </row>
    <row r="1311" spans="1:6" x14ac:dyDescent="0.3">
      <c r="A1311">
        <v>2024</v>
      </c>
      <c r="B1311">
        <v>5</v>
      </c>
      <c r="C1311" t="s">
        <v>40</v>
      </c>
      <c r="D1311" t="s">
        <v>48</v>
      </c>
      <c r="E1311" t="s">
        <v>50</v>
      </c>
      <c r="F1311">
        <v>52964.66</v>
      </c>
    </row>
    <row r="1312" spans="1:6" x14ac:dyDescent="0.3">
      <c r="A1312">
        <v>2024</v>
      </c>
      <c r="B1312">
        <v>5</v>
      </c>
      <c r="C1312" t="s">
        <v>41</v>
      </c>
      <c r="D1312" t="s">
        <v>48</v>
      </c>
      <c r="E1312" t="s">
        <v>50</v>
      </c>
      <c r="F1312">
        <v>53345.38</v>
      </c>
    </row>
    <row r="1313" spans="1:6" x14ac:dyDescent="0.3">
      <c r="A1313">
        <v>2024</v>
      </c>
      <c r="B1313">
        <v>5</v>
      </c>
      <c r="C1313" t="s">
        <v>42</v>
      </c>
      <c r="D1313" t="s">
        <v>48</v>
      </c>
      <c r="E1313" t="s">
        <v>50</v>
      </c>
      <c r="F1313">
        <v>40346.129999999997</v>
      </c>
    </row>
    <row r="1314" spans="1:6" x14ac:dyDescent="0.3">
      <c r="A1314">
        <v>2024</v>
      </c>
      <c r="B1314">
        <v>5</v>
      </c>
      <c r="C1314" t="s">
        <v>43</v>
      </c>
      <c r="D1314" t="s">
        <v>48</v>
      </c>
      <c r="E1314" t="s">
        <v>50</v>
      </c>
      <c r="F1314">
        <v>27844.98</v>
      </c>
    </row>
    <row r="1315" spans="1:6" x14ac:dyDescent="0.3">
      <c r="A1315">
        <v>2024</v>
      </c>
      <c r="B1315">
        <v>5</v>
      </c>
      <c r="C1315" t="s">
        <v>44</v>
      </c>
      <c r="D1315" t="s">
        <v>48</v>
      </c>
      <c r="E1315" t="s">
        <v>50</v>
      </c>
      <c r="F1315">
        <v>41850.46</v>
      </c>
    </row>
    <row r="1316" spans="1:6" x14ac:dyDescent="0.3">
      <c r="A1316">
        <v>2024</v>
      </c>
      <c r="B1316">
        <v>5</v>
      </c>
      <c r="C1316" t="s">
        <v>45</v>
      </c>
      <c r="D1316" t="s">
        <v>48</v>
      </c>
      <c r="E1316" t="s">
        <v>50</v>
      </c>
      <c r="F1316">
        <v>110525.41</v>
      </c>
    </row>
    <row r="1317" spans="1:6" x14ac:dyDescent="0.3">
      <c r="A1317">
        <v>2024</v>
      </c>
      <c r="B1317">
        <v>5</v>
      </c>
      <c r="C1317" t="s">
        <v>37</v>
      </c>
      <c r="D1317" t="s">
        <v>48</v>
      </c>
      <c r="E1317" t="s">
        <v>51</v>
      </c>
      <c r="F1317">
        <v>100442.09</v>
      </c>
    </row>
    <row r="1318" spans="1:6" x14ac:dyDescent="0.3">
      <c r="A1318">
        <v>2024</v>
      </c>
      <c r="B1318">
        <v>5</v>
      </c>
      <c r="C1318" t="s">
        <v>40</v>
      </c>
      <c r="D1318" t="s">
        <v>48</v>
      </c>
      <c r="E1318" t="s">
        <v>51</v>
      </c>
      <c r="F1318">
        <v>35374.06</v>
      </c>
    </row>
    <row r="1319" spans="1:6" x14ac:dyDescent="0.3">
      <c r="A1319">
        <v>2024</v>
      </c>
      <c r="B1319">
        <v>5</v>
      </c>
      <c r="C1319" t="s">
        <v>41</v>
      </c>
      <c r="D1319" t="s">
        <v>48</v>
      </c>
      <c r="E1319" t="s">
        <v>51</v>
      </c>
      <c r="F1319">
        <v>91113.11</v>
      </c>
    </row>
    <row r="1320" spans="1:6" x14ac:dyDescent="0.3">
      <c r="A1320">
        <v>2024</v>
      </c>
      <c r="B1320">
        <v>5</v>
      </c>
      <c r="C1320" t="s">
        <v>42</v>
      </c>
      <c r="D1320" t="s">
        <v>48</v>
      </c>
      <c r="E1320" t="s">
        <v>51</v>
      </c>
      <c r="F1320">
        <v>70941.16</v>
      </c>
    </row>
    <row r="1321" spans="1:6" x14ac:dyDescent="0.3">
      <c r="A1321">
        <v>2024</v>
      </c>
      <c r="B1321">
        <v>5</v>
      </c>
      <c r="C1321" t="s">
        <v>43</v>
      </c>
      <c r="D1321" t="s">
        <v>48</v>
      </c>
      <c r="E1321" t="s">
        <v>51</v>
      </c>
      <c r="F1321">
        <v>19785.82</v>
      </c>
    </row>
    <row r="1322" spans="1:6" x14ac:dyDescent="0.3">
      <c r="A1322">
        <v>2024</v>
      </c>
      <c r="B1322">
        <v>5</v>
      </c>
      <c r="C1322" t="s">
        <v>44</v>
      </c>
      <c r="D1322" t="s">
        <v>48</v>
      </c>
      <c r="E1322" t="s">
        <v>51</v>
      </c>
      <c r="F1322">
        <v>40412.81</v>
      </c>
    </row>
    <row r="1323" spans="1:6" x14ac:dyDescent="0.3">
      <c r="A1323">
        <v>2024</v>
      </c>
      <c r="B1323">
        <v>5</v>
      </c>
      <c r="C1323" t="s">
        <v>45</v>
      </c>
      <c r="D1323" t="s">
        <v>48</v>
      </c>
      <c r="E1323" t="s">
        <v>51</v>
      </c>
      <c r="F1323">
        <v>32366.71</v>
      </c>
    </row>
    <row r="1324" spans="1:6" x14ac:dyDescent="0.3">
      <c r="A1324">
        <v>2024</v>
      </c>
      <c r="B1324">
        <v>5</v>
      </c>
      <c r="C1324" t="s">
        <v>37</v>
      </c>
      <c r="D1324" t="s">
        <v>48</v>
      </c>
      <c r="E1324" t="s">
        <v>52</v>
      </c>
      <c r="F1324">
        <v>10739.31</v>
      </c>
    </row>
    <row r="1325" spans="1:6" x14ac:dyDescent="0.3">
      <c r="A1325">
        <v>2024</v>
      </c>
      <c r="B1325">
        <v>5</v>
      </c>
      <c r="C1325" t="s">
        <v>40</v>
      </c>
      <c r="D1325" t="s">
        <v>48</v>
      </c>
      <c r="E1325" t="s">
        <v>52</v>
      </c>
      <c r="F1325">
        <v>91244.68</v>
      </c>
    </row>
    <row r="1326" spans="1:6" x14ac:dyDescent="0.3">
      <c r="A1326">
        <v>2024</v>
      </c>
      <c r="B1326">
        <v>5</v>
      </c>
      <c r="C1326" t="s">
        <v>41</v>
      </c>
      <c r="D1326" t="s">
        <v>48</v>
      </c>
      <c r="E1326" t="s">
        <v>52</v>
      </c>
      <c r="F1326">
        <v>44193.62</v>
      </c>
    </row>
    <row r="1327" spans="1:6" x14ac:dyDescent="0.3">
      <c r="A1327">
        <v>2024</v>
      </c>
      <c r="B1327">
        <v>5</v>
      </c>
      <c r="C1327" t="s">
        <v>42</v>
      </c>
      <c r="D1327" t="s">
        <v>48</v>
      </c>
      <c r="E1327" t="s">
        <v>52</v>
      </c>
      <c r="F1327">
        <v>75440.3</v>
      </c>
    </row>
    <row r="1328" spans="1:6" x14ac:dyDescent="0.3">
      <c r="A1328">
        <v>2024</v>
      </c>
      <c r="B1328">
        <v>5</v>
      </c>
      <c r="C1328" t="s">
        <v>43</v>
      </c>
      <c r="D1328" t="s">
        <v>48</v>
      </c>
      <c r="E1328" t="s">
        <v>52</v>
      </c>
      <c r="F1328">
        <v>36297.19</v>
      </c>
    </row>
    <row r="1329" spans="1:6" x14ac:dyDescent="0.3">
      <c r="A1329">
        <v>2024</v>
      </c>
      <c r="B1329">
        <v>5</v>
      </c>
      <c r="C1329" t="s">
        <v>44</v>
      </c>
      <c r="D1329" t="s">
        <v>48</v>
      </c>
      <c r="E1329" t="s">
        <v>52</v>
      </c>
      <c r="F1329">
        <v>60030.5</v>
      </c>
    </row>
    <row r="1330" spans="1:6" x14ac:dyDescent="0.3">
      <c r="A1330">
        <v>2024</v>
      </c>
      <c r="B1330">
        <v>5</v>
      </c>
      <c r="C1330" t="s">
        <v>45</v>
      </c>
      <c r="D1330" t="s">
        <v>48</v>
      </c>
      <c r="E1330" t="s">
        <v>52</v>
      </c>
      <c r="F1330">
        <v>88164.99</v>
      </c>
    </row>
    <row r="1331" spans="1:6" x14ac:dyDescent="0.3">
      <c r="A1331">
        <v>2024</v>
      </c>
      <c r="B1331">
        <v>5</v>
      </c>
      <c r="C1331" t="s">
        <v>37</v>
      </c>
      <c r="D1331" t="s">
        <v>48</v>
      </c>
      <c r="E1331" t="s">
        <v>53</v>
      </c>
      <c r="F1331">
        <v>102487.84</v>
      </c>
    </row>
    <row r="1332" spans="1:6" x14ac:dyDescent="0.3">
      <c r="A1332">
        <v>2024</v>
      </c>
      <c r="B1332">
        <v>5</v>
      </c>
      <c r="C1332" t="s">
        <v>40</v>
      </c>
      <c r="D1332" t="s">
        <v>48</v>
      </c>
      <c r="E1332" t="s">
        <v>53</v>
      </c>
      <c r="F1332">
        <v>61112.53</v>
      </c>
    </row>
    <row r="1333" spans="1:6" x14ac:dyDescent="0.3">
      <c r="A1333">
        <v>2024</v>
      </c>
      <c r="B1333">
        <v>5</v>
      </c>
      <c r="C1333" t="s">
        <v>41</v>
      </c>
      <c r="D1333" t="s">
        <v>48</v>
      </c>
      <c r="E1333" t="s">
        <v>53</v>
      </c>
      <c r="F1333">
        <v>104746.05</v>
      </c>
    </row>
    <row r="1334" spans="1:6" x14ac:dyDescent="0.3">
      <c r="A1334">
        <v>2024</v>
      </c>
      <c r="B1334">
        <v>5</v>
      </c>
      <c r="C1334" t="s">
        <v>42</v>
      </c>
      <c r="D1334" t="s">
        <v>48</v>
      </c>
      <c r="E1334" t="s">
        <v>53</v>
      </c>
      <c r="F1334">
        <v>61482.16</v>
      </c>
    </row>
    <row r="1335" spans="1:6" x14ac:dyDescent="0.3">
      <c r="A1335">
        <v>2024</v>
      </c>
      <c r="B1335">
        <v>5</v>
      </c>
      <c r="C1335" t="s">
        <v>43</v>
      </c>
      <c r="D1335" t="s">
        <v>48</v>
      </c>
      <c r="E1335" t="s">
        <v>53</v>
      </c>
      <c r="F1335">
        <v>32238.62</v>
      </c>
    </row>
    <row r="1336" spans="1:6" x14ac:dyDescent="0.3">
      <c r="A1336">
        <v>2024</v>
      </c>
      <c r="B1336">
        <v>5</v>
      </c>
      <c r="C1336" t="s">
        <v>44</v>
      </c>
      <c r="D1336" t="s">
        <v>48</v>
      </c>
      <c r="E1336" t="s">
        <v>53</v>
      </c>
      <c r="F1336">
        <v>45176.08</v>
      </c>
    </row>
    <row r="1337" spans="1:6" x14ac:dyDescent="0.3">
      <c r="A1337">
        <v>2024</v>
      </c>
      <c r="B1337">
        <v>5</v>
      </c>
      <c r="C1337" t="s">
        <v>45</v>
      </c>
      <c r="D1337" t="s">
        <v>48</v>
      </c>
      <c r="E1337" t="s">
        <v>53</v>
      </c>
      <c r="F1337">
        <v>116576.73</v>
      </c>
    </row>
    <row r="1338" spans="1:6" x14ac:dyDescent="0.3">
      <c r="A1338">
        <v>2024</v>
      </c>
      <c r="B1338">
        <v>5</v>
      </c>
      <c r="C1338" t="s">
        <v>37</v>
      </c>
      <c r="D1338" t="s">
        <v>48</v>
      </c>
      <c r="E1338" t="s">
        <v>54</v>
      </c>
      <c r="F1338">
        <v>12619.15</v>
      </c>
    </row>
    <row r="1339" spans="1:6" x14ac:dyDescent="0.3">
      <c r="A1339">
        <v>2024</v>
      </c>
      <c r="B1339">
        <v>5</v>
      </c>
      <c r="C1339" t="s">
        <v>40</v>
      </c>
      <c r="D1339" t="s">
        <v>48</v>
      </c>
      <c r="E1339" t="s">
        <v>54</v>
      </c>
      <c r="F1339">
        <v>55945.87</v>
      </c>
    </row>
    <row r="1340" spans="1:6" x14ac:dyDescent="0.3">
      <c r="A1340">
        <v>2024</v>
      </c>
      <c r="B1340">
        <v>5</v>
      </c>
      <c r="C1340" t="s">
        <v>41</v>
      </c>
      <c r="D1340" t="s">
        <v>48</v>
      </c>
      <c r="E1340" t="s">
        <v>54</v>
      </c>
      <c r="F1340">
        <v>23829.45</v>
      </c>
    </row>
    <row r="1341" spans="1:6" x14ac:dyDescent="0.3">
      <c r="A1341">
        <v>2024</v>
      </c>
      <c r="B1341">
        <v>5</v>
      </c>
      <c r="C1341" t="s">
        <v>42</v>
      </c>
      <c r="D1341" t="s">
        <v>48</v>
      </c>
      <c r="E1341" t="s">
        <v>54</v>
      </c>
      <c r="F1341">
        <v>57423.72</v>
      </c>
    </row>
    <row r="1342" spans="1:6" x14ac:dyDescent="0.3">
      <c r="A1342">
        <v>2024</v>
      </c>
      <c r="B1342">
        <v>5</v>
      </c>
      <c r="C1342" t="s">
        <v>43</v>
      </c>
      <c r="D1342" t="s">
        <v>48</v>
      </c>
      <c r="E1342" t="s">
        <v>54</v>
      </c>
      <c r="F1342">
        <v>38263.74</v>
      </c>
    </row>
    <row r="1343" spans="1:6" x14ac:dyDescent="0.3">
      <c r="A1343">
        <v>2024</v>
      </c>
      <c r="B1343">
        <v>5</v>
      </c>
      <c r="C1343" t="s">
        <v>44</v>
      </c>
      <c r="D1343" t="s">
        <v>48</v>
      </c>
      <c r="E1343" t="s">
        <v>54</v>
      </c>
      <c r="F1343">
        <v>53196.49</v>
      </c>
    </row>
    <row r="1344" spans="1:6" x14ac:dyDescent="0.3">
      <c r="A1344">
        <v>2024</v>
      </c>
      <c r="B1344">
        <v>5</v>
      </c>
      <c r="C1344" t="s">
        <v>45</v>
      </c>
      <c r="D1344" t="s">
        <v>48</v>
      </c>
      <c r="E1344" t="s">
        <v>54</v>
      </c>
      <c r="F1344">
        <v>106444.48</v>
      </c>
    </row>
    <row r="1345" spans="1:6" x14ac:dyDescent="0.3">
      <c r="A1345">
        <v>2024</v>
      </c>
      <c r="B1345">
        <v>5</v>
      </c>
      <c r="C1345" t="s">
        <v>37</v>
      </c>
      <c r="D1345" t="s">
        <v>48</v>
      </c>
      <c r="E1345" t="s">
        <v>55</v>
      </c>
      <c r="F1345">
        <v>116682.32</v>
      </c>
    </row>
    <row r="1346" spans="1:6" x14ac:dyDescent="0.3">
      <c r="A1346">
        <v>2024</v>
      </c>
      <c r="B1346">
        <v>5</v>
      </c>
      <c r="C1346" t="s">
        <v>40</v>
      </c>
      <c r="D1346" t="s">
        <v>48</v>
      </c>
      <c r="E1346" t="s">
        <v>55</v>
      </c>
      <c r="F1346">
        <v>20860.36</v>
      </c>
    </row>
    <row r="1347" spans="1:6" x14ac:dyDescent="0.3">
      <c r="A1347">
        <v>2024</v>
      </c>
      <c r="B1347">
        <v>5</v>
      </c>
      <c r="C1347" t="s">
        <v>41</v>
      </c>
      <c r="D1347" t="s">
        <v>48</v>
      </c>
      <c r="E1347" t="s">
        <v>55</v>
      </c>
      <c r="F1347">
        <v>80483.67</v>
      </c>
    </row>
    <row r="1348" spans="1:6" x14ac:dyDescent="0.3">
      <c r="A1348">
        <v>2024</v>
      </c>
      <c r="B1348">
        <v>5</v>
      </c>
      <c r="C1348" t="s">
        <v>42</v>
      </c>
      <c r="D1348" t="s">
        <v>48</v>
      </c>
      <c r="E1348" t="s">
        <v>55</v>
      </c>
      <c r="F1348">
        <v>55556.95</v>
      </c>
    </row>
    <row r="1349" spans="1:6" x14ac:dyDescent="0.3">
      <c r="A1349">
        <v>2024</v>
      </c>
      <c r="B1349">
        <v>5</v>
      </c>
      <c r="C1349" t="s">
        <v>43</v>
      </c>
      <c r="D1349" t="s">
        <v>48</v>
      </c>
      <c r="E1349" t="s">
        <v>55</v>
      </c>
      <c r="F1349">
        <v>119980.71</v>
      </c>
    </row>
    <row r="1350" spans="1:6" x14ac:dyDescent="0.3">
      <c r="A1350">
        <v>2024</v>
      </c>
      <c r="B1350">
        <v>5</v>
      </c>
      <c r="C1350" t="s">
        <v>44</v>
      </c>
      <c r="D1350" t="s">
        <v>48</v>
      </c>
      <c r="E1350" t="s">
        <v>55</v>
      </c>
      <c r="F1350">
        <v>60320.5</v>
      </c>
    </row>
    <row r="1351" spans="1:6" x14ac:dyDescent="0.3">
      <c r="A1351">
        <v>2024</v>
      </c>
      <c r="B1351">
        <v>5</v>
      </c>
      <c r="C1351" t="s">
        <v>45</v>
      </c>
      <c r="D1351" t="s">
        <v>48</v>
      </c>
      <c r="E1351" t="s">
        <v>55</v>
      </c>
      <c r="F1351">
        <v>88325.3</v>
      </c>
    </row>
    <row r="1352" spans="1:6" x14ac:dyDescent="0.3">
      <c r="A1352">
        <v>2024</v>
      </c>
      <c r="B1352">
        <v>5</v>
      </c>
      <c r="C1352" t="s">
        <v>37</v>
      </c>
      <c r="D1352" t="s">
        <v>48</v>
      </c>
      <c r="E1352" t="s">
        <v>56</v>
      </c>
      <c r="F1352">
        <v>114288.28</v>
      </c>
    </row>
    <row r="1353" spans="1:6" x14ac:dyDescent="0.3">
      <c r="A1353">
        <v>2024</v>
      </c>
      <c r="B1353">
        <v>5</v>
      </c>
      <c r="C1353" t="s">
        <v>40</v>
      </c>
      <c r="D1353" t="s">
        <v>48</v>
      </c>
      <c r="E1353" t="s">
        <v>56</v>
      </c>
      <c r="F1353">
        <v>81819.87</v>
      </c>
    </row>
    <row r="1354" spans="1:6" x14ac:dyDescent="0.3">
      <c r="A1354">
        <v>2024</v>
      </c>
      <c r="B1354">
        <v>5</v>
      </c>
      <c r="C1354" t="s">
        <v>41</v>
      </c>
      <c r="D1354" t="s">
        <v>48</v>
      </c>
      <c r="E1354" t="s">
        <v>56</v>
      </c>
      <c r="F1354">
        <v>111923.09</v>
      </c>
    </row>
    <row r="1355" spans="1:6" x14ac:dyDescent="0.3">
      <c r="A1355">
        <v>2024</v>
      </c>
      <c r="B1355">
        <v>5</v>
      </c>
      <c r="C1355" t="s">
        <v>42</v>
      </c>
      <c r="D1355" t="s">
        <v>48</v>
      </c>
      <c r="E1355" t="s">
        <v>56</v>
      </c>
      <c r="F1355">
        <v>96200</v>
      </c>
    </row>
    <row r="1356" spans="1:6" x14ac:dyDescent="0.3">
      <c r="A1356">
        <v>2024</v>
      </c>
      <c r="B1356">
        <v>5</v>
      </c>
      <c r="C1356" t="s">
        <v>43</v>
      </c>
      <c r="D1356" t="s">
        <v>48</v>
      </c>
      <c r="E1356" t="s">
        <v>56</v>
      </c>
      <c r="F1356">
        <v>108652.15</v>
      </c>
    </row>
    <row r="1357" spans="1:6" x14ac:dyDescent="0.3">
      <c r="A1357">
        <v>2024</v>
      </c>
      <c r="B1357">
        <v>5</v>
      </c>
      <c r="C1357" t="s">
        <v>44</v>
      </c>
      <c r="D1357" t="s">
        <v>48</v>
      </c>
      <c r="E1357" t="s">
        <v>56</v>
      </c>
      <c r="F1357">
        <v>33223.300000000003</v>
      </c>
    </row>
    <row r="1358" spans="1:6" x14ac:dyDescent="0.3">
      <c r="A1358">
        <v>2024</v>
      </c>
      <c r="B1358">
        <v>5</v>
      </c>
      <c r="C1358" t="s">
        <v>45</v>
      </c>
      <c r="D1358" t="s">
        <v>48</v>
      </c>
      <c r="E1358" t="s">
        <v>56</v>
      </c>
      <c r="F1358">
        <v>58109.94</v>
      </c>
    </row>
    <row r="1359" spans="1:6" x14ac:dyDescent="0.3">
      <c r="A1359">
        <v>2024</v>
      </c>
      <c r="B1359">
        <v>5</v>
      </c>
      <c r="C1359" t="s">
        <v>37</v>
      </c>
      <c r="D1359" t="s">
        <v>57</v>
      </c>
      <c r="E1359" t="s">
        <v>58</v>
      </c>
      <c r="F1359">
        <v>81728.740000000005</v>
      </c>
    </row>
    <row r="1360" spans="1:6" x14ac:dyDescent="0.3">
      <c r="A1360">
        <v>2024</v>
      </c>
      <c r="B1360">
        <v>5</v>
      </c>
      <c r="C1360" t="s">
        <v>37</v>
      </c>
      <c r="D1360" t="s">
        <v>57</v>
      </c>
      <c r="E1360" t="s">
        <v>59</v>
      </c>
      <c r="F1360">
        <v>41197.31</v>
      </c>
    </row>
    <row r="1361" spans="1:6" x14ac:dyDescent="0.3">
      <c r="A1361">
        <v>2024</v>
      </c>
      <c r="B1361">
        <v>5</v>
      </c>
      <c r="C1361" t="s">
        <v>37</v>
      </c>
      <c r="D1361" t="s">
        <v>57</v>
      </c>
      <c r="E1361" t="s">
        <v>60</v>
      </c>
      <c r="F1361">
        <v>91592.3</v>
      </c>
    </row>
    <row r="1362" spans="1:6" x14ac:dyDescent="0.3">
      <c r="A1362">
        <v>2024</v>
      </c>
      <c r="B1362">
        <v>6</v>
      </c>
      <c r="C1362" t="s">
        <v>37</v>
      </c>
      <c r="D1362" t="s">
        <v>38</v>
      </c>
      <c r="E1362" t="s">
        <v>39</v>
      </c>
      <c r="F1362">
        <v>100445.26</v>
      </c>
    </row>
    <row r="1363" spans="1:6" x14ac:dyDescent="0.3">
      <c r="A1363">
        <v>2024</v>
      </c>
      <c r="B1363">
        <v>6</v>
      </c>
      <c r="C1363" t="s">
        <v>40</v>
      </c>
      <c r="D1363" t="s">
        <v>38</v>
      </c>
      <c r="E1363" t="s">
        <v>39</v>
      </c>
      <c r="F1363">
        <v>107509</v>
      </c>
    </row>
    <row r="1364" spans="1:6" x14ac:dyDescent="0.3">
      <c r="A1364">
        <v>2024</v>
      </c>
      <c r="B1364">
        <v>6</v>
      </c>
      <c r="C1364" t="s">
        <v>41</v>
      </c>
      <c r="D1364" t="s">
        <v>38</v>
      </c>
      <c r="E1364" t="s">
        <v>39</v>
      </c>
      <c r="F1364">
        <v>98181.65</v>
      </c>
    </row>
    <row r="1365" spans="1:6" x14ac:dyDescent="0.3">
      <c r="A1365">
        <v>2024</v>
      </c>
      <c r="B1365">
        <v>6</v>
      </c>
      <c r="C1365" t="s">
        <v>42</v>
      </c>
      <c r="D1365" t="s">
        <v>38</v>
      </c>
      <c r="E1365" t="s">
        <v>39</v>
      </c>
      <c r="F1365">
        <v>90497.25</v>
      </c>
    </row>
    <row r="1366" spans="1:6" x14ac:dyDescent="0.3">
      <c r="A1366">
        <v>2024</v>
      </c>
      <c r="B1366">
        <v>6</v>
      </c>
      <c r="C1366" t="s">
        <v>43</v>
      </c>
      <c r="D1366" t="s">
        <v>38</v>
      </c>
      <c r="E1366" t="s">
        <v>39</v>
      </c>
      <c r="F1366">
        <v>11593.09</v>
      </c>
    </row>
    <row r="1367" spans="1:6" x14ac:dyDescent="0.3">
      <c r="A1367">
        <v>2024</v>
      </c>
      <c r="B1367">
        <v>6</v>
      </c>
      <c r="C1367" t="s">
        <v>44</v>
      </c>
      <c r="D1367" t="s">
        <v>38</v>
      </c>
      <c r="E1367" t="s">
        <v>39</v>
      </c>
      <c r="F1367">
        <v>46140</v>
      </c>
    </row>
    <row r="1368" spans="1:6" x14ac:dyDescent="0.3">
      <c r="A1368">
        <v>2024</v>
      </c>
      <c r="B1368">
        <v>6</v>
      </c>
      <c r="C1368" t="s">
        <v>45</v>
      </c>
      <c r="D1368" t="s">
        <v>38</v>
      </c>
      <c r="E1368" t="s">
        <v>39</v>
      </c>
      <c r="F1368">
        <v>21632.81</v>
      </c>
    </row>
    <row r="1369" spans="1:6" x14ac:dyDescent="0.3">
      <c r="A1369">
        <v>2024</v>
      </c>
      <c r="B1369">
        <v>6</v>
      </c>
      <c r="C1369" t="s">
        <v>37</v>
      </c>
      <c r="D1369" t="s">
        <v>38</v>
      </c>
      <c r="E1369" t="s">
        <v>46</v>
      </c>
      <c r="F1369">
        <v>24180</v>
      </c>
    </row>
    <row r="1370" spans="1:6" x14ac:dyDescent="0.3">
      <c r="A1370">
        <v>2024</v>
      </c>
      <c r="B1370">
        <v>6</v>
      </c>
      <c r="C1370" t="s">
        <v>40</v>
      </c>
      <c r="D1370" t="s">
        <v>38</v>
      </c>
      <c r="E1370" t="s">
        <v>46</v>
      </c>
      <c r="F1370">
        <v>99391.82</v>
      </c>
    </row>
    <row r="1371" spans="1:6" x14ac:dyDescent="0.3">
      <c r="A1371">
        <v>2024</v>
      </c>
      <c r="B1371">
        <v>6</v>
      </c>
      <c r="C1371" t="s">
        <v>41</v>
      </c>
      <c r="D1371" t="s">
        <v>38</v>
      </c>
      <c r="E1371" t="s">
        <v>46</v>
      </c>
      <c r="F1371">
        <v>72934.429999999993</v>
      </c>
    </row>
    <row r="1372" spans="1:6" x14ac:dyDescent="0.3">
      <c r="A1372">
        <v>2024</v>
      </c>
      <c r="B1372">
        <v>6</v>
      </c>
      <c r="C1372" t="s">
        <v>42</v>
      </c>
      <c r="D1372" t="s">
        <v>38</v>
      </c>
      <c r="E1372" t="s">
        <v>46</v>
      </c>
      <c r="F1372">
        <v>45533.59</v>
      </c>
    </row>
    <row r="1373" spans="1:6" x14ac:dyDescent="0.3">
      <c r="A1373">
        <v>2024</v>
      </c>
      <c r="B1373">
        <v>6</v>
      </c>
      <c r="C1373" t="s">
        <v>43</v>
      </c>
      <c r="D1373" t="s">
        <v>38</v>
      </c>
      <c r="E1373" t="s">
        <v>46</v>
      </c>
      <c r="F1373">
        <v>76027.38</v>
      </c>
    </row>
    <row r="1374" spans="1:6" x14ac:dyDescent="0.3">
      <c r="A1374">
        <v>2024</v>
      </c>
      <c r="B1374">
        <v>6</v>
      </c>
      <c r="C1374" t="s">
        <v>44</v>
      </c>
      <c r="D1374" t="s">
        <v>38</v>
      </c>
      <c r="E1374" t="s">
        <v>46</v>
      </c>
      <c r="F1374">
        <v>113257.29</v>
      </c>
    </row>
    <row r="1375" spans="1:6" x14ac:dyDescent="0.3">
      <c r="A1375">
        <v>2024</v>
      </c>
      <c r="B1375">
        <v>6</v>
      </c>
      <c r="C1375" t="s">
        <v>45</v>
      </c>
      <c r="D1375" t="s">
        <v>38</v>
      </c>
      <c r="E1375" t="s">
        <v>46</v>
      </c>
      <c r="F1375">
        <v>37176.949999999997</v>
      </c>
    </row>
    <row r="1376" spans="1:6" x14ac:dyDescent="0.3">
      <c r="A1376">
        <v>2024</v>
      </c>
      <c r="B1376">
        <v>6</v>
      </c>
      <c r="C1376" t="s">
        <v>37</v>
      </c>
      <c r="D1376" t="s">
        <v>38</v>
      </c>
      <c r="E1376" t="s">
        <v>47</v>
      </c>
      <c r="F1376">
        <v>74146.960000000006</v>
      </c>
    </row>
    <row r="1377" spans="1:6" x14ac:dyDescent="0.3">
      <c r="A1377">
        <v>2024</v>
      </c>
      <c r="B1377">
        <v>6</v>
      </c>
      <c r="C1377" t="s">
        <v>40</v>
      </c>
      <c r="D1377" t="s">
        <v>38</v>
      </c>
      <c r="E1377" t="s">
        <v>47</v>
      </c>
      <c r="F1377">
        <v>72104.83</v>
      </c>
    </row>
    <row r="1378" spans="1:6" x14ac:dyDescent="0.3">
      <c r="A1378">
        <v>2024</v>
      </c>
      <c r="B1378">
        <v>6</v>
      </c>
      <c r="C1378" t="s">
        <v>41</v>
      </c>
      <c r="D1378" t="s">
        <v>38</v>
      </c>
      <c r="E1378" t="s">
        <v>47</v>
      </c>
      <c r="F1378">
        <v>24146.67</v>
      </c>
    </row>
    <row r="1379" spans="1:6" x14ac:dyDescent="0.3">
      <c r="A1379">
        <v>2024</v>
      </c>
      <c r="B1379">
        <v>6</v>
      </c>
      <c r="C1379" t="s">
        <v>42</v>
      </c>
      <c r="D1379" t="s">
        <v>38</v>
      </c>
      <c r="E1379" t="s">
        <v>47</v>
      </c>
      <c r="F1379">
        <v>67411.61</v>
      </c>
    </row>
    <row r="1380" spans="1:6" x14ac:dyDescent="0.3">
      <c r="A1380">
        <v>2024</v>
      </c>
      <c r="B1380">
        <v>6</v>
      </c>
      <c r="C1380" t="s">
        <v>43</v>
      </c>
      <c r="D1380" t="s">
        <v>38</v>
      </c>
      <c r="E1380" t="s">
        <v>47</v>
      </c>
      <c r="F1380">
        <v>15419.73</v>
      </c>
    </row>
    <row r="1381" spans="1:6" x14ac:dyDescent="0.3">
      <c r="A1381">
        <v>2024</v>
      </c>
      <c r="B1381">
        <v>6</v>
      </c>
      <c r="C1381" t="s">
        <v>44</v>
      </c>
      <c r="D1381" t="s">
        <v>38</v>
      </c>
      <c r="E1381" t="s">
        <v>47</v>
      </c>
      <c r="F1381">
        <v>71298.84</v>
      </c>
    </row>
    <row r="1382" spans="1:6" x14ac:dyDescent="0.3">
      <c r="A1382">
        <v>2024</v>
      </c>
      <c r="B1382">
        <v>6</v>
      </c>
      <c r="C1382" t="s">
        <v>45</v>
      </c>
      <c r="D1382" t="s">
        <v>38</v>
      </c>
      <c r="E1382" t="s">
        <v>47</v>
      </c>
      <c r="F1382">
        <v>110005.11</v>
      </c>
    </row>
    <row r="1383" spans="1:6" x14ac:dyDescent="0.3">
      <c r="A1383">
        <v>2024</v>
      </c>
      <c r="B1383">
        <v>6</v>
      </c>
      <c r="C1383" t="s">
        <v>37</v>
      </c>
      <c r="D1383" t="s">
        <v>48</v>
      </c>
      <c r="E1383" t="s">
        <v>49</v>
      </c>
      <c r="F1383">
        <v>60333.17</v>
      </c>
    </row>
    <row r="1384" spans="1:6" x14ac:dyDescent="0.3">
      <c r="A1384">
        <v>2024</v>
      </c>
      <c r="B1384">
        <v>6</v>
      </c>
      <c r="C1384" t="s">
        <v>40</v>
      </c>
      <c r="D1384" t="s">
        <v>48</v>
      </c>
      <c r="E1384" t="s">
        <v>49</v>
      </c>
      <c r="F1384">
        <v>59961.62</v>
      </c>
    </row>
    <row r="1385" spans="1:6" x14ac:dyDescent="0.3">
      <c r="A1385">
        <v>2024</v>
      </c>
      <c r="B1385">
        <v>6</v>
      </c>
      <c r="C1385" t="s">
        <v>41</v>
      </c>
      <c r="D1385" t="s">
        <v>48</v>
      </c>
      <c r="E1385" t="s">
        <v>49</v>
      </c>
      <c r="F1385">
        <v>118395.22</v>
      </c>
    </row>
    <row r="1386" spans="1:6" x14ac:dyDescent="0.3">
      <c r="A1386">
        <v>2024</v>
      </c>
      <c r="B1386">
        <v>6</v>
      </c>
      <c r="C1386" t="s">
        <v>42</v>
      </c>
      <c r="D1386" t="s">
        <v>48</v>
      </c>
      <c r="E1386" t="s">
        <v>49</v>
      </c>
      <c r="F1386">
        <v>30858.91</v>
      </c>
    </row>
    <row r="1387" spans="1:6" x14ac:dyDescent="0.3">
      <c r="A1387">
        <v>2024</v>
      </c>
      <c r="B1387">
        <v>6</v>
      </c>
      <c r="C1387" t="s">
        <v>43</v>
      </c>
      <c r="D1387" t="s">
        <v>48</v>
      </c>
      <c r="E1387" t="s">
        <v>49</v>
      </c>
      <c r="F1387">
        <v>61486.3</v>
      </c>
    </row>
    <row r="1388" spans="1:6" x14ac:dyDescent="0.3">
      <c r="A1388">
        <v>2024</v>
      </c>
      <c r="B1388">
        <v>6</v>
      </c>
      <c r="C1388" t="s">
        <v>44</v>
      </c>
      <c r="D1388" t="s">
        <v>48</v>
      </c>
      <c r="E1388" t="s">
        <v>49</v>
      </c>
      <c r="F1388">
        <v>61496.800000000003</v>
      </c>
    </row>
    <row r="1389" spans="1:6" x14ac:dyDescent="0.3">
      <c r="A1389">
        <v>2024</v>
      </c>
      <c r="B1389">
        <v>6</v>
      </c>
      <c r="C1389" t="s">
        <v>45</v>
      </c>
      <c r="D1389" t="s">
        <v>48</v>
      </c>
      <c r="E1389" t="s">
        <v>49</v>
      </c>
      <c r="F1389">
        <v>72633.34</v>
      </c>
    </row>
    <row r="1390" spans="1:6" x14ac:dyDescent="0.3">
      <c r="A1390">
        <v>2024</v>
      </c>
      <c r="B1390">
        <v>6</v>
      </c>
      <c r="C1390" t="s">
        <v>37</v>
      </c>
      <c r="D1390" t="s">
        <v>48</v>
      </c>
      <c r="E1390" t="s">
        <v>50</v>
      </c>
      <c r="F1390">
        <v>61757.96</v>
      </c>
    </row>
    <row r="1391" spans="1:6" x14ac:dyDescent="0.3">
      <c r="A1391">
        <v>2024</v>
      </c>
      <c r="B1391">
        <v>6</v>
      </c>
      <c r="C1391" t="s">
        <v>40</v>
      </c>
      <c r="D1391" t="s">
        <v>48</v>
      </c>
      <c r="E1391" t="s">
        <v>50</v>
      </c>
      <c r="F1391">
        <v>103411.62</v>
      </c>
    </row>
    <row r="1392" spans="1:6" x14ac:dyDescent="0.3">
      <c r="A1392">
        <v>2024</v>
      </c>
      <c r="B1392">
        <v>6</v>
      </c>
      <c r="C1392" t="s">
        <v>41</v>
      </c>
      <c r="D1392" t="s">
        <v>48</v>
      </c>
      <c r="E1392" t="s">
        <v>50</v>
      </c>
      <c r="F1392">
        <v>52095.99</v>
      </c>
    </row>
    <row r="1393" spans="1:6" x14ac:dyDescent="0.3">
      <c r="A1393">
        <v>2024</v>
      </c>
      <c r="B1393">
        <v>6</v>
      </c>
      <c r="C1393" t="s">
        <v>42</v>
      </c>
      <c r="D1393" t="s">
        <v>48</v>
      </c>
      <c r="E1393" t="s">
        <v>50</v>
      </c>
      <c r="F1393">
        <v>35851.93</v>
      </c>
    </row>
    <row r="1394" spans="1:6" x14ac:dyDescent="0.3">
      <c r="A1394">
        <v>2024</v>
      </c>
      <c r="B1394">
        <v>6</v>
      </c>
      <c r="C1394" t="s">
        <v>43</v>
      </c>
      <c r="D1394" t="s">
        <v>48</v>
      </c>
      <c r="E1394" t="s">
        <v>50</v>
      </c>
      <c r="F1394">
        <v>15951.88</v>
      </c>
    </row>
    <row r="1395" spans="1:6" x14ac:dyDescent="0.3">
      <c r="A1395">
        <v>2024</v>
      </c>
      <c r="B1395">
        <v>6</v>
      </c>
      <c r="C1395" t="s">
        <v>44</v>
      </c>
      <c r="D1395" t="s">
        <v>48</v>
      </c>
      <c r="E1395" t="s">
        <v>50</v>
      </c>
      <c r="F1395">
        <v>80737.63</v>
      </c>
    </row>
    <row r="1396" spans="1:6" x14ac:dyDescent="0.3">
      <c r="A1396">
        <v>2024</v>
      </c>
      <c r="B1396">
        <v>6</v>
      </c>
      <c r="C1396" t="s">
        <v>45</v>
      </c>
      <c r="D1396" t="s">
        <v>48</v>
      </c>
      <c r="E1396" t="s">
        <v>50</v>
      </c>
      <c r="F1396">
        <v>24029.06</v>
      </c>
    </row>
    <row r="1397" spans="1:6" x14ac:dyDescent="0.3">
      <c r="A1397">
        <v>2024</v>
      </c>
      <c r="B1397">
        <v>6</v>
      </c>
      <c r="C1397" t="s">
        <v>37</v>
      </c>
      <c r="D1397" t="s">
        <v>48</v>
      </c>
      <c r="E1397" t="s">
        <v>51</v>
      </c>
      <c r="F1397">
        <v>98187.839999999997</v>
      </c>
    </row>
    <row r="1398" spans="1:6" x14ac:dyDescent="0.3">
      <c r="A1398">
        <v>2024</v>
      </c>
      <c r="B1398">
        <v>6</v>
      </c>
      <c r="C1398" t="s">
        <v>40</v>
      </c>
      <c r="D1398" t="s">
        <v>48</v>
      </c>
      <c r="E1398" t="s">
        <v>51</v>
      </c>
      <c r="F1398">
        <v>96528.9</v>
      </c>
    </row>
    <row r="1399" spans="1:6" x14ac:dyDescent="0.3">
      <c r="A1399">
        <v>2024</v>
      </c>
      <c r="B1399">
        <v>6</v>
      </c>
      <c r="C1399" t="s">
        <v>41</v>
      </c>
      <c r="D1399" t="s">
        <v>48</v>
      </c>
      <c r="E1399" t="s">
        <v>51</v>
      </c>
      <c r="F1399">
        <v>55877.97</v>
      </c>
    </row>
    <row r="1400" spans="1:6" x14ac:dyDescent="0.3">
      <c r="A1400">
        <v>2024</v>
      </c>
      <c r="B1400">
        <v>6</v>
      </c>
      <c r="C1400" t="s">
        <v>42</v>
      </c>
      <c r="D1400" t="s">
        <v>48</v>
      </c>
      <c r="E1400" t="s">
        <v>51</v>
      </c>
      <c r="F1400">
        <v>75483.02</v>
      </c>
    </row>
    <row r="1401" spans="1:6" x14ac:dyDescent="0.3">
      <c r="A1401">
        <v>2024</v>
      </c>
      <c r="B1401">
        <v>6</v>
      </c>
      <c r="C1401" t="s">
        <v>43</v>
      </c>
      <c r="D1401" t="s">
        <v>48</v>
      </c>
      <c r="E1401" t="s">
        <v>51</v>
      </c>
      <c r="F1401">
        <v>97033.9</v>
      </c>
    </row>
    <row r="1402" spans="1:6" x14ac:dyDescent="0.3">
      <c r="A1402">
        <v>2024</v>
      </c>
      <c r="B1402">
        <v>6</v>
      </c>
      <c r="C1402" t="s">
        <v>44</v>
      </c>
      <c r="D1402" t="s">
        <v>48</v>
      </c>
      <c r="E1402" t="s">
        <v>51</v>
      </c>
      <c r="F1402">
        <v>53762.06</v>
      </c>
    </row>
    <row r="1403" spans="1:6" x14ac:dyDescent="0.3">
      <c r="A1403">
        <v>2024</v>
      </c>
      <c r="B1403">
        <v>6</v>
      </c>
      <c r="C1403" t="s">
        <v>45</v>
      </c>
      <c r="D1403" t="s">
        <v>48</v>
      </c>
      <c r="E1403" t="s">
        <v>51</v>
      </c>
      <c r="F1403">
        <v>25271.95</v>
      </c>
    </row>
    <row r="1404" spans="1:6" x14ac:dyDescent="0.3">
      <c r="A1404">
        <v>2024</v>
      </c>
      <c r="B1404">
        <v>6</v>
      </c>
      <c r="C1404" t="s">
        <v>37</v>
      </c>
      <c r="D1404" t="s">
        <v>48</v>
      </c>
      <c r="E1404" t="s">
        <v>52</v>
      </c>
      <c r="F1404">
        <v>67773.179999999993</v>
      </c>
    </row>
    <row r="1405" spans="1:6" x14ac:dyDescent="0.3">
      <c r="A1405">
        <v>2024</v>
      </c>
      <c r="B1405">
        <v>6</v>
      </c>
      <c r="C1405" t="s">
        <v>40</v>
      </c>
      <c r="D1405" t="s">
        <v>48</v>
      </c>
      <c r="E1405" t="s">
        <v>52</v>
      </c>
      <c r="F1405">
        <v>105026.2</v>
      </c>
    </row>
    <row r="1406" spans="1:6" x14ac:dyDescent="0.3">
      <c r="A1406">
        <v>2024</v>
      </c>
      <c r="B1406">
        <v>6</v>
      </c>
      <c r="C1406" t="s">
        <v>41</v>
      </c>
      <c r="D1406" t="s">
        <v>48</v>
      </c>
      <c r="E1406" t="s">
        <v>52</v>
      </c>
      <c r="F1406">
        <v>56752.52</v>
      </c>
    </row>
    <row r="1407" spans="1:6" x14ac:dyDescent="0.3">
      <c r="A1407">
        <v>2024</v>
      </c>
      <c r="B1407">
        <v>6</v>
      </c>
      <c r="C1407" t="s">
        <v>42</v>
      </c>
      <c r="D1407" t="s">
        <v>48</v>
      </c>
      <c r="E1407" t="s">
        <v>52</v>
      </c>
      <c r="F1407">
        <v>108336.53</v>
      </c>
    </row>
    <row r="1408" spans="1:6" x14ac:dyDescent="0.3">
      <c r="A1408">
        <v>2024</v>
      </c>
      <c r="B1408">
        <v>6</v>
      </c>
      <c r="C1408" t="s">
        <v>43</v>
      </c>
      <c r="D1408" t="s">
        <v>48</v>
      </c>
      <c r="E1408" t="s">
        <v>52</v>
      </c>
      <c r="F1408">
        <v>112066</v>
      </c>
    </row>
    <row r="1409" spans="1:6" x14ac:dyDescent="0.3">
      <c r="A1409">
        <v>2024</v>
      </c>
      <c r="B1409">
        <v>6</v>
      </c>
      <c r="C1409" t="s">
        <v>44</v>
      </c>
      <c r="D1409" t="s">
        <v>48</v>
      </c>
      <c r="E1409" t="s">
        <v>52</v>
      </c>
      <c r="F1409">
        <v>34776.61</v>
      </c>
    </row>
    <row r="1410" spans="1:6" x14ac:dyDescent="0.3">
      <c r="A1410">
        <v>2024</v>
      </c>
      <c r="B1410">
        <v>6</v>
      </c>
      <c r="C1410" t="s">
        <v>45</v>
      </c>
      <c r="D1410" t="s">
        <v>48</v>
      </c>
      <c r="E1410" t="s">
        <v>52</v>
      </c>
      <c r="F1410">
        <v>32846.35</v>
      </c>
    </row>
    <row r="1411" spans="1:6" x14ac:dyDescent="0.3">
      <c r="A1411">
        <v>2024</v>
      </c>
      <c r="B1411">
        <v>6</v>
      </c>
      <c r="C1411" t="s">
        <v>37</v>
      </c>
      <c r="D1411" t="s">
        <v>48</v>
      </c>
      <c r="E1411" t="s">
        <v>53</v>
      </c>
      <c r="F1411">
        <v>112769.87</v>
      </c>
    </row>
    <row r="1412" spans="1:6" x14ac:dyDescent="0.3">
      <c r="A1412">
        <v>2024</v>
      </c>
      <c r="B1412">
        <v>6</v>
      </c>
      <c r="C1412" t="s">
        <v>40</v>
      </c>
      <c r="D1412" t="s">
        <v>48</v>
      </c>
      <c r="E1412" t="s">
        <v>53</v>
      </c>
      <c r="F1412">
        <v>82047.679999999993</v>
      </c>
    </row>
    <row r="1413" spans="1:6" x14ac:dyDescent="0.3">
      <c r="A1413">
        <v>2024</v>
      </c>
      <c r="B1413">
        <v>6</v>
      </c>
      <c r="C1413" t="s">
        <v>41</v>
      </c>
      <c r="D1413" t="s">
        <v>48</v>
      </c>
      <c r="E1413" t="s">
        <v>53</v>
      </c>
      <c r="F1413">
        <v>108894.06</v>
      </c>
    </row>
    <row r="1414" spans="1:6" x14ac:dyDescent="0.3">
      <c r="A1414">
        <v>2024</v>
      </c>
      <c r="B1414">
        <v>6</v>
      </c>
      <c r="C1414" t="s">
        <v>42</v>
      </c>
      <c r="D1414" t="s">
        <v>48</v>
      </c>
      <c r="E1414" t="s">
        <v>53</v>
      </c>
      <c r="F1414">
        <v>20047.8</v>
      </c>
    </row>
    <row r="1415" spans="1:6" x14ac:dyDescent="0.3">
      <c r="A1415">
        <v>2024</v>
      </c>
      <c r="B1415">
        <v>6</v>
      </c>
      <c r="C1415" t="s">
        <v>43</v>
      </c>
      <c r="D1415" t="s">
        <v>48</v>
      </c>
      <c r="E1415" t="s">
        <v>53</v>
      </c>
      <c r="F1415">
        <v>37142.71</v>
      </c>
    </row>
    <row r="1416" spans="1:6" x14ac:dyDescent="0.3">
      <c r="A1416">
        <v>2024</v>
      </c>
      <c r="B1416">
        <v>6</v>
      </c>
      <c r="C1416" t="s">
        <v>44</v>
      </c>
      <c r="D1416" t="s">
        <v>48</v>
      </c>
      <c r="E1416" t="s">
        <v>53</v>
      </c>
      <c r="F1416">
        <v>105683.19</v>
      </c>
    </row>
    <row r="1417" spans="1:6" x14ac:dyDescent="0.3">
      <c r="A1417">
        <v>2024</v>
      </c>
      <c r="B1417">
        <v>6</v>
      </c>
      <c r="C1417" t="s">
        <v>45</v>
      </c>
      <c r="D1417" t="s">
        <v>48</v>
      </c>
      <c r="E1417" t="s">
        <v>53</v>
      </c>
      <c r="F1417">
        <v>94908.99</v>
      </c>
    </row>
    <row r="1418" spans="1:6" x14ac:dyDescent="0.3">
      <c r="A1418">
        <v>2024</v>
      </c>
      <c r="B1418">
        <v>6</v>
      </c>
      <c r="C1418" t="s">
        <v>37</v>
      </c>
      <c r="D1418" t="s">
        <v>48</v>
      </c>
      <c r="E1418" t="s">
        <v>54</v>
      </c>
      <c r="F1418">
        <v>28493.27</v>
      </c>
    </row>
    <row r="1419" spans="1:6" x14ac:dyDescent="0.3">
      <c r="A1419">
        <v>2024</v>
      </c>
      <c r="B1419">
        <v>6</v>
      </c>
      <c r="C1419" t="s">
        <v>40</v>
      </c>
      <c r="D1419" t="s">
        <v>48</v>
      </c>
      <c r="E1419" t="s">
        <v>54</v>
      </c>
      <c r="F1419">
        <v>76738.929999999993</v>
      </c>
    </row>
    <row r="1420" spans="1:6" x14ac:dyDescent="0.3">
      <c r="A1420">
        <v>2024</v>
      </c>
      <c r="B1420">
        <v>6</v>
      </c>
      <c r="C1420" t="s">
        <v>41</v>
      </c>
      <c r="D1420" t="s">
        <v>48</v>
      </c>
      <c r="E1420" t="s">
        <v>54</v>
      </c>
      <c r="F1420">
        <v>99706.03</v>
      </c>
    </row>
    <row r="1421" spans="1:6" x14ac:dyDescent="0.3">
      <c r="A1421">
        <v>2024</v>
      </c>
      <c r="B1421">
        <v>6</v>
      </c>
      <c r="C1421" t="s">
        <v>42</v>
      </c>
      <c r="D1421" t="s">
        <v>48</v>
      </c>
      <c r="E1421" t="s">
        <v>54</v>
      </c>
      <c r="F1421">
        <v>44526.67</v>
      </c>
    </row>
    <row r="1422" spans="1:6" x14ac:dyDescent="0.3">
      <c r="A1422">
        <v>2024</v>
      </c>
      <c r="B1422">
        <v>6</v>
      </c>
      <c r="C1422" t="s">
        <v>43</v>
      </c>
      <c r="D1422" t="s">
        <v>48</v>
      </c>
      <c r="E1422" t="s">
        <v>54</v>
      </c>
      <c r="F1422">
        <v>113428.61</v>
      </c>
    </row>
    <row r="1423" spans="1:6" x14ac:dyDescent="0.3">
      <c r="A1423">
        <v>2024</v>
      </c>
      <c r="B1423">
        <v>6</v>
      </c>
      <c r="C1423" t="s">
        <v>44</v>
      </c>
      <c r="D1423" t="s">
        <v>48</v>
      </c>
      <c r="E1423" t="s">
        <v>54</v>
      </c>
      <c r="F1423">
        <v>49005.89</v>
      </c>
    </row>
    <row r="1424" spans="1:6" x14ac:dyDescent="0.3">
      <c r="A1424">
        <v>2024</v>
      </c>
      <c r="B1424">
        <v>6</v>
      </c>
      <c r="C1424" t="s">
        <v>45</v>
      </c>
      <c r="D1424" t="s">
        <v>48</v>
      </c>
      <c r="E1424" t="s">
        <v>54</v>
      </c>
      <c r="F1424">
        <v>60893.85</v>
      </c>
    </row>
    <row r="1425" spans="1:6" x14ac:dyDescent="0.3">
      <c r="A1425">
        <v>2024</v>
      </c>
      <c r="B1425">
        <v>6</v>
      </c>
      <c r="C1425" t="s">
        <v>37</v>
      </c>
      <c r="D1425" t="s">
        <v>48</v>
      </c>
      <c r="E1425" t="s">
        <v>55</v>
      </c>
      <c r="F1425">
        <v>69034.83</v>
      </c>
    </row>
    <row r="1426" spans="1:6" x14ac:dyDescent="0.3">
      <c r="A1426">
        <v>2024</v>
      </c>
      <c r="B1426">
        <v>6</v>
      </c>
      <c r="C1426" t="s">
        <v>40</v>
      </c>
      <c r="D1426" t="s">
        <v>48</v>
      </c>
      <c r="E1426" t="s">
        <v>55</v>
      </c>
      <c r="F1426">
        <v>104166.78</v>
      </c>
    </row>
    <row r="1427" spans="1:6" x14ac:dyDescent="0.3">
      <c r="A1427">
        <v>2024</v>
      </c>
      <c r="B1427">
        <v>6</v>
      </c>
      <c r="C1427" t="s">
        <v>41</v>
      </c>
      <c r="D1427" t="s">
        <v>48</v>
      </c>
      <c r="E1427" t="s">
        <v>55</v>
      </c>
      <c r="F1427">
        <v>13921.64</v>
      </c>
    </row>
    <row r="1428" spans="1:6" x14ac:dyDescent="0.3">
      <c r="A1428">
        <v>2024</v>
      </c>
      <c r="B1428">
        <v>6</v>
      </c>
      <c r="C1428" t="s">
        <v>42</v>
      </c>
      <c r="D1428" t="s">
        <v>48</v>
      </c>
      <c r="E1428" t="s">
        <v>55</v>
      </c>
      <c r="F1428">
        <v>41219.980000000003</v>
      </c>
    </row>
    <row r="1429" spans="1:6" x14ac:dyDescent="0.3">
      <c r="A1429">
        <v>2024</v>
      </c>
      <c r="B1429">
        <v>6</v>
      </c>
      <c r="C1429" t="s">
        <v>43</v>
      </c>
      <c r="D1429" t="s">
        <v>48</v>
      </c>
      <c r="E1429" t="s">
        <v>55</v>
      </c>
      <c r="F1429">
        <v>39149.800000000003</v>
      </c>
    </row>
    <row r="1430" spans="1:6" x14ac:dyDescent="0.3">
      <c r="A1430">
        <v>2024</v>
      </c>
      <c r="B1430">
        <v>6</v>
      </c>
      <c r="C1430" t="s">
        <v>44</v>
      </c>
      <c r="D1430" t="s">
        <v>48</v>
      </c>
      <c r="E1430" t="s">
        <v>55</v>
      </c>
      <c r="F1430">
        <v>58819.44</v>
      </c>
    </row>
    <row r="1431" spans="1:6" x14ac:dyDescent="0.3">
      <c r="A1431">
        <v>2024</v>
      </c>
      <c r="B1431">
        <v>6</v>
      </c>
      <c r="C1431" t="s">
        <v>45</v>
      </c>
      <c r="D1431" t="s">
        <v>48</v>
      </c>
      <c r="E1431" t="s">
        <v>55</v>
      </c>
      <c r="F1431">
        <v>16475.599999999999</v>
      </c>
    </row>
    <row r="1432" spans="1:6" x14ac:dyDescent="0.3">
      <c r="A1432">
        <v>2024</v>
      </c>
      <c r="B1432">
        <v>6</v>
      </c>
      <c r="C1432" t="s">
        <v>37</v>
      </c>
      <c r="D1432" t="s">
        <v>48</v>
      </c>
      <c r="E1432" t="s">
        <v>56</v>
      </c>
      <c r="F1432">
        <v>22861.49</v>
      </c>
    </row>
    <row r="1433" spans="1:6" x14ac:dyDescent="0.3">
      <c r="A1433">
        <v>2024</v>
      </c>
      <c r="B1433">
        <v>6</v>
      </c>
      <c r="C1433" t="s">
        <v>40</v>
      </c>
      <c r="D1433" t="s">
        <v>48</v>
      </c>
      <c r="E1433" t="s">
        <v>56</v>
      </c>
      <c r="F1433">
        <v>30666</v>
      </c>
    </row>
    <row r="1434" spans="1:6" x14ac:dyDescent="0.3">
      <c r="A1434">
        <v>2024</v>
      </c>
      <c r="B1434">
        <v>6</v>
      </c>
      <c r="C1434" t="s">
        <v>41</v>
      </c>
      <c r="D1434" t="s">
        <v>48</v>
      </c>
      <c r="E1434" t="s">
        <v>56</v>
      </c>
      <c r="F1434">
        <v>97118.96</v>
      </c>
    </row>
    <row r="1435" spans="1:6" x14ac:dyDescent="0.3">
      <c r="A1435">
        <v>2024</v>
      </c>
      <c r="B1435">
        <v>6</v>
      </c>
      <c r="C1435" t="s">
        <v>42</v>
      </c>
      <c r="D1435" t="s">
        <v>48</v>
      </c>
      <c r="E1435" t="s">
        <v>56</v>
      </c>
      <c r="F1435">
        <v>107256</v>
      </c>
    </row>
    <row r="1436" spans="1:6" x14ac:dyDescent="0.3">
      <c r="A1436">
        <v>2024</v>
      </c>
      <c r="B1436">
        <v>6</v>
      </c>
      <c r="C1436" t="s">
        <v>43</v>
      </c>
      <c r="D1436" t="s">
        <v>48</v>
      </c>
      <c r="E1436" t="s">
        <v>56</v>
      </c>
      <c r="F1436">
        <v>12645.34</v>
      </c>
    </row>
    <row r="1437" spans="1:6" x14ac:dyDescent="0.3">
      <c r="A1437">
        <v>2024</v>
      </c>
      <c r="B1437">
        <v>6</v>
      </c>
      <c r="C1437" t="s">
        <v>44</v>
      </c>
      <c r="D1437" t="s">
        <v>48</v>
      </c>
      <c r="E1437" t="s">
        <v>56</v>
      </c>
      <c r="F1437">
        <v>71315.789999999994</v>
      </c>
    </row>
    <row r="1438" spans="1:6" x14ac:dyDescent="0.3">
      <c r="A1438">
        <v>2024</v>
      </c>
      <c r="B1438">
        <v>6</v>
      </c>
      <c r="C1438" t="s">
        <v>45</v>
      </c>
      <c r="D1438" t="s">
        <v>48</v>
      </c>
      <c r="E1438" t="s">
        <v>56</v>
      </c>
      <c r="F1438">
        <v>103940.89</v>
      </c>
    </row>
    <row r="1439" spans="1:6" x14ac:dyDescent="0.3">
      <c r="A1439">
        <v>2024</v>
      </c>
      <c r="B1439">
        <v>6</v>
      </c>
      <c r="C1439" t="s">
        <v>37</v>
      </c>
      <c r="D1439" t="s">
        <v>57</v>
      </c>
      <c r="E1439" t="s">
        <v>58</v>
      </c>
      <c r="F1439">
        <v>30221.75</v>
      </c>
    </row>
    <row r="1440" spans="1:6" x14ac:dyDescent="0.3">
      <c r="A1440">
        <v>2024</v>
      </c>
      <c r="B1440">
        <v>6</v>
      </c>
      <c r="C1440" t="s">
        <v>37</v>
      </c>
      <c r="D1440" t="s">
        <v>57</v>
      </c>
      <c r="E1440" t="s">
        <v>59</v>
      </c>
      <c r="F1440">
        <v>62325.39</v>
      </c>
    </row>
    <row r="1441" spans="1:6" x14ac:dyDescent="0.3">
      <c r="A1441">
        <v>2024</v>
      </c>
      <c r="B1441">
        <v>6</v>
      </c>
      <c r="C1441" t="s">
        <v>37</v>
      </c>
      <c r="D1441" t="s">
        <v>57</v>
      </c>
      <c r="E1441" t="s">
        <v>60</v>
      </c>
      <c r="F1441">
        <v>27848.67</v>
      </c>
    </row>
    <row r="1442" spans="1:6" x14ac:dyDescent="0.3">
      <c r="A1442">
        <v>2024</v>
      </c>
      <c r="B1442">
        <v>7</v>
      </c>
      <c r="C1442" t="s">
        <v>37</v>
      </c>
      <c r="D1442" t="s">
        <v>38</v>
      </c>
      <c r="E1442" t="s">
        <v>39</v>
      </c>
      <c r="F1442">
        <v>62046.97</v>
      </c>
    </row>
    <row r="1443" spans="1:6" x14ac:dyDescent="0.3">
      <c r="A1443">
        <v>2024</v>
      </c>
      <c r="B1443">
        <v>7</v>
      </c>
      <c r="C1443" t="s">
        <v>40</v>
      </c>
      <c r="D1443" t="s">
        <v>38</v>
      </c>
      <c r="E1443" t="s">
        <v>39</v>
      </c>
      <c r="F1443">
        <v>19852.95</v>
      </c>
    </row>
    <row r="1444" spans="1:6" x14ac:dyDescent="0.3">
      <c r="A1444">
        <v>2024</v>
      </c>
      <c r="B1444">
        <v>7</v>
      </c>
      <c r="C1444" t="s">
        <v>41</v>
      </c>
      <c r="D1444" t="s">
        <v>38</v>
      </c>
      <c r="E1444" t="s">
        <v>39</v>
      </c>
      <c r="F1444">
        <v>20219.52</v>
      </c>
    </row>
    <row r="1445" spans="1:6" x14ac:dyDescent="0.3">
      <c r="A1445">
        <v>2024</v>
      </c>
      <c r="B1445">
        <v>7</v>
      </c>
      <c r="C1445" t="s">
        <v>42</v>
      </c>
      <c r="D1445" t="s">
        <v>38</v>
      </c>
      <c r="E1445" t="s">
        <v>39</v>
      </c>
      <c r="F1445">
        <v>110760.2</v>
      </c>
    </row>
    <row r="1446" spans="1:6" x14ac:dyDescent="0.3">
      <c r="A1446">
        <v>2024</v>
      </c>
      <c r="B1446">
        <v>7</v>
      </c>
      <c r="C1446" t="s">
        <v>43</v>
      </c>
      <c r="D1446" t="s">
        <v>38</v>
      </c>
      <c r="E1446" t="s">
        <v>39</v>
      </c>
      <c r="F1446">
        <v>60877.32</v>
      </c>
    </row>
    <row r="1447" spans="1:6" x14ac:dyDescent="0.3">
      <c r="A1447">
        <v>2024</v>
      </c>
      <c r="B1447">
        <v>7</v>
      </c>
      <c r="C1447" t="s">
        <v>44</v>
      </c>
      <c r="D1447" t="s">
        <v>38</v>
      </c>
      <c r="E1447" t="s">
        <v>39</v>
      </c>
      <c r="F1447">
        <v>117015.42</v>
      </c>
    </row>
    <row r="1448" spans="1:6" x14ac:dyDescent="0.3">
      <c r="A1448">
        <v>2024</v>
      </c>
      <c r="B1448">
        <v>7</v>
      </c>
      <c r="C1448" t="s">
        <v>45</v>
      </c>
      <c r="D1448" t="s">
        <v>38</v>
      </c>
      <c r="E1448" t="s">
        <v>39</v>
      </c>
      <c r="F1448">
        <v>26879.08</v>
      </c>
    </row>
    <row r="1449" spans="1:6" x14ac:dyDescent="0.3">
      <c r="A1449">
        <v>2024</v>
      </c>
      <c r="B1449">
        <v>7</v>
      </c>
      <c r="C1449" t="s">
        <v>37</v>
      </c>
      <c r="D1449" t="s">
        <v>38</v>
      </c>
      <c r="E1449" t="s">
        <v>46</v>
      </c>
      <c r="F1449">
        <v>107302.2</v>
      </c>
    </row>
    <row r="1450" spans="1:6" x14ac:dyDescent="0.3">
      <c r="A1450">
        <v>2024</v>
      </c>
      <c r="B1450">
        <v>7</v>
      </c>
      <c r="C1450" t="s">
        <v>40</v>
      </c>
      <c r="D1450" t="s">
        <v>38</v>
      </c>
      <c r="E1450" t="s">
        <v>46</v>
      </c>
      <c r="F1450">
        <v>30567.040000000001</v>
      </c>
    </row>
    <row r="1451" spans="1:6" x14ac:dyDescent="0.3">
      <c r="A1451">
        <v>2024</v>
      </c>
      <c r="B1451">
        <v>7</v>
      </c>
      <c r="C1451" t="s">
        <v>41</v>
      </c>
      <c r="D1451" t="s">
        <v>38</v>
      </c>
      <c r="E1451" t="s">
        <v>46</v>
      </c>
      <c r="F1451">
        <v>85902</v>
      </c>
    </row>
    <row r="1452" spans="1:6" x14ac:dyDescent="0.3">
      <c r="A1452">
        <v>2024</v>
      </c>
      <c r="B1452">
        <v>7</v>
      </c>
      <c r="C1452" t="s">
        <v>42</v>
      </c>
      <c r="D1452" t="s">
        <v>38</v>
      </c>
      <c r="E1452" t="s">
        <v>46</v>
      </c>
      <c r="F1452">
        <v>92567.08</v>
      </c>
    </row>
    <row r="1453" spans="1:6" x14ac:dyDescent="0.3">
      <c r="A1453">
        <v>2024</v>
      </c>
      <c r="B1453">
        <v>7</v>
      </c>
      <c r="C1453" t="s">
        <v>43</v>
      </c>
      <c r="D1453" t="s">
        <v>38</v>
      </c>
      <c r="E1453" t="s">
        <v>46</v>
      </c>
      <c r="F1453">
        <v>41822.44</v>
      </c>
    </row>
    <row r="1454" spans="1:6" x14ac:dyDescent="0.3">
      <c r="A1454">
        <v>2024</v>
      </c>
      <c r="B1454">
        <v>7</v>
      </c>
      <c r="C1454" t="s">
        <v>44</v>
      </c>
      <c r="D1454" t="s">
        <v>38</v>
      </c>
      <c r="E1454" t="s">
        <v>46</v>
      </c>
      <c r="F1454">
        <v>99938.83</v>
      </c>
    </row>
    <row r="1455" spans="1:6" x14ac:dyDescent="0.3">
      <c r="A1455">
        <v>2024</v>
      </c>
      <c r="B1455">
        <v>7</v>
      </c>
      <c r="C1455" t="s">
        <v>45</v>
      </c>
      <c r="D1455" t="s">
        <v>38</v>
      </c>
      <c r="E1455" t="s">
        <v>46</v>
      </c>
      <c r="F1455">
        <v>53467.77</v>
      </c>
    </row>
    <row r="1456" spans="1:6" x14ac:dyDescent="0.3">
      <c r="A1456">
        <v>2024</v>
      </c>
      <c r="B1456">
        <v>7</v>
      </c>
      <c r="C1456" t="s">
        <v>37</v>
      </c>
      <c r="D1456" t="s">
        <v>38</v>
      </c>
      <c r="E1456" t="s">
        <v>47</v>
      </c>
      <c r="F1456">
        <v>108080.25</v>
      </c>
    </row>
    <row r="1457" spans="1:6" x14ac:dyDescent="0.3">
      <c r="A1457">
        <v>2024</v>
      </c>
      <c r="B1457">
        <v>7</v>
      </c>
      <c r="C1457" t="s">
        <v>40</v>
      </c>
      <c r="D1457" t="s">
        <v>38</v>
      </c>
      <c r="E1457" t="s">
        <v>47</v>
      </c>
      <c r="F1457">
        <v>29883.57</v>
      </c>
    </row>
    <row r="1458" spans="1:6" x14ac:dyDescent="0.3">
      <c r="A1458">
        <v>2024</v>
      </c>
      <c r="B1458">
        <v>7</v>
      </c>
      <c r="C1458" t="s">
        <v>41</v>
      </c>
      <c r="D1458" t="s">
        <v>38</v>
      </c>
      <c r="E1458" t="s">
        <v>47</v>
      </c>
      <c r="F1458">
        <v>98920.03</v>
      </c>
    </row>
    <row r="1459" spans="1:6" x14ac:dyDescent="0.3">
      <c r="A1459">
        <v>2024</v>
      </c>
      <c r="B1459">
        <v>7</v>
      </c>
      <c r="C1459" t="s">
        <v>42</v>
      </c>
      <c r="D1459" t="s">
        <v>38</v>
      </c>
      <c r="E1459" t="s">
        <v>47</v>
      </c>
      <c r="F1459">
        <v>63064.41</v>
      </c>
    </row>
    <row r="1460" spans="1:6" x14ac:dyDescent="0.3">
      <c r="A1460">
        <v>2024</v>
      </c>
      <c r="B1460">
        <v>7</v>
      </c>
      <c r="C1460" t="s">
        <v>43</v>
      </c>
      <c r="D1460" t="s">
        <v>38</v>
      </c>
      <c r="E1460" t="s">
        <v>47</v>
      </c>
      <c r="F1460">
        <v>70801.399999999994</v>
      </c>
    </row>
    <row r="1461" spans="1:6" x14ac:dyDescent="0.3">
      <c r="A1461">
        <v>2024</v>
      </c>
      <c r="B1461">
        <v>7</v>
      </c>
      <c r="C1461" t="s">
        <v>44</v>
      </c>
      <c r="D1461" t="s">
        <v>38</v>
      </c>
      <c r="E1461" t="s">
        <v>47</v>
      </c>
      <c r="F1461">
        <v>44386.95</v>
      </c>
    </row>
    <row r="1462" spans="1:6" x14ac:dyDescent="0.3">
      <c r="A1462">
        <v>2024</v>
      </c>
      <c r="B1462">
        <v>7</v>
      </c>
      <c r="C1462" t="s">
        <v>45</v>
      </c>
      <c r="D1462" t="s">
        <v>38</v>
      </c>
      <c r="E1462" t="s">
        <v>47</v>
      </c>
      <c r="F1462">
        <v>34082.07</v>
      </c>
    </row>
    <row r="1463" spans="1:6" x14ac:dyDescent="0.3">
      <c r="A1463">
        <v>2024</v>
      </c>
      <c r="B1463">
        <v>7</v>
      </c>
      <c r="C1463" t="s">
        <v>37</v>
      </c>
      <c r="D1463" t="s">
        <v>48</v>
      </c>
      <c r="E1463" t="s">
        <v>49</v>
      </c>
      <c r="F1463">
        <v>19628.75</v>
      </c>
    </row>
    <row r="1464" spans="1:6" x14ac:dyDescent="0.3">
      <c r="A1464">
        <v>2024</v>
      </c>
      <c r="B1464">
        <v>7</v>
      </c>
      <c r="C1464" t="s">
        <v>40</v>
      </c>
      <c r="D1464" t="s">
        <v>48</v>
      </c>
      <c r="E1464" t="s">
        <v>49</v>
      </c>
      <c r="F1464">
        <v>27640.49</v>
      </c>
    </row>
    <row r="1465" spans="1:6" x14ac:dyDescent="0.3">
      <c r="A1465">
        <v>2024</v>
      </c>
      <c r="B1465">
        <v>7</v>
      </c>
      <c r="C1465" t="s">
        <v>41</v>
      </c>
      <c r="D1465" t="s">
        <v>48</v>
      </c>
      <c r="E1465" t="s">
        <v>49</v>
      </c>
      <c r="F1465">
        <v>111391.48</v>
      </c>
    </row>
    <row r="1466" spans="1:6" x14ac:dyDescent="0.3">
      <c r="A1466">
        <v>2024</v>
      </c>
      <c r="B1466">
        <v>7</v>
      </c>
      <c r="C1466" t="s">
        <v>42</v>
      </c>
      <c r="D1466" t="s">
        <v>48</v>
      </c>
      <c r="E1466" t="s">
        <v>49</v>
      </c>
      <c r="F1466">
        <v>55450.67</v>
      </c>
    </row>
    <row r="1467" spans="1:6" x14ac:dyDescent="0.3">
      <c r="A1467">
        <v>2024</v>
      </c>
      <c r="B1467">
        <v>7</v>
      </c>
      <c r="C1467" t="s">
        <v>43</v>
      </c>
      <c r="D1467" t="s">
        <v>48</v>
      </c>
      <c r="E1467" t="s">
        <v>49</v>
      </c>
      <c r="F1467">
        <v>32076.560000000001</v>
      </c>
    </row>
    <row r="1468" spans="1:6" x14ac:dyDescent="0.3">
      <c r="A1468">
        <v>2024</v>
      </c>
      <c r="B1468">
        <v>7</v>
      </c>
      <c r="C1468" t="s">
        <v>44</v>
      </c>
      <c r="D1468" t="s">
        <v>48</v>
      </c>
      <c r="E1468" t="s">
        <v>49</v>
      </c>
      <c r="F1468">
        <v>111021.52</v>
      </c>
    </row>
    <row r="1469" spans="1:6" x14ac:dyDescent="0.3">
      <c r="A1469">
        <v>2024</v>
      </c>
      <c r="B1469">
        <v>7</v>
      </c>
      <c r="C1469" t="s">
        <v>45</v>
      </c>
      <c r="D1469" t="s">
        <v>48</v>
      </c>
      <c r="E1469" t="s">
        <v>49</v>
      </c>
      <c r="F1469">
        <v>35283.74</v>
      </c>
    </row>
    <row r="1470" spans="1:6" x14ac:dyDescent="0.3">
      <c r="A1470">
        <v>2024</v>
      </c>
      <c r="B1470">
        <v>7</v>
      </c>
      <c r="C1470" t="s">
        <v>37</v>
      </c>
      <c r="D1470" t="s">
        <v>48</v>
      </c>
      <c r="E1470" t="s">
        <v>50</v>
      </c>
      <c r="F1470">
        <v>76404.03</v>
      </c>
    </row>
    <row r="1471" spans="1:6" x14ac:dyDescent="0.3">
      <c r="A1471">
        <v>2024</v>
      </c>
      <c r="B1471">
        <v>7</v>
      </c>
      <c r="C1471" t="s">
        <v>40</v>
      </c>
      <c r="D1471" t="s">
        <v>48</v>
      </c>
      <c r="E1471" t="s">
        <v>50</v>
      </c>
      <c r="F1471">
        <v>104201.24</v>
      </c>
    </row>
    <row r="1472" spans="1:6" x14ac:dyDescent="0.3">
      <c r="A1472">
        <v>2024</v>
      </c>
      <c r="B1472">
        <v>7</v>
      </c>
      <c r="C1472" t="s">
        <v>41</v>
      </c>
      <c r="D1472" t="s">
        <v>48</v>
      </c>
      <c r="E1472" t="s">
        <v>50</v>
      </c>
      <c r="F1472">
        <v>60972.74</v>
      </c>
    </row>
    <row r="1473" spans="1:6" x14ac:dyDescent="0.3">
      <c r="A1473">
        <v>2024</v>
      </c>
      <c r="B1473">
        <v>7</v>
      </c>
      <c r="C1473" t="s">
        <v>42</v>
      </c>
      <c r="D1473" t="s">
        <v>48</v>
      </c>
      <c r="E1473" t="s">
        <v>50</v>
      </c>
      <c r="F1473">
        <v>108946.36</v>
      </c>
    </row>
    <row r="1474" spans="1:6" x14ac:dyDescent="0.3">
      <c r="A1474">
        <v>2024</v>
      </c>
      <c r="B1474">
        <v>7</v>
      </c>
      <c r="C1474" t="s">
        <v>43</v>
      </c>
      <c r="D1474" t="s">
        <v>48</v>
      </c>
      <c r="E1474" t="s">
        <v>50</v>
      </c>
      <c r="F1474">
        <v>88291.17</v>
      </c>
    </row>
    <row r="1475" spans="1:6" x14ac:dyDescent="0.3">
      <c r="A1475">
        <v>2024</v>
      </c>
      <c r="B1475">
        <v>7</v>
      </c>
      <c r="C1475" t="s">
        <v>44</v>
      </c>
      <c r="D1475" t="s">
        <v>48</v>
      </c>
      <c r="E1475" t="s">
        <v>50</v>
      </c>
      <c r="F1475">
        <v>119163.34</v>
      </c>
    </row>
    <row r="1476" spans="1:6" x14ac:dyDescent="0.3">
      <c r="A1476">
        <v>2024</v>
      </c>
      <c r="B1476">
        <v>7</v>
      </c>
      <c r="C1476" t="s">
        <v>45</v>
      </c>
      <c r="D1476" t="s">
        <v>48</v>
      </c>
      <c r="E1476" t="s">
        <v>50</v>
      </c>
      <c r="F1476">
        <v>10957.52</v>
      </c>
    </row>
    <row r="1477" spans="1:6" x14ac:dyDescent="0.3">
      <c r="A1477">
        <v>2024</v>
      </c>
      <c r="B1477">
        <v>7</v>
      </c>
      <c r="C1477" t="s">
        <v>37</v>
      </c>
      <c r="D1477" t="s">
        <v>48</v>
      </c>
      <c r="E1477" t="s">
        <v>51</v>
      </c>
      <c r="F1477">
        <v>76056.56</v>
      </c>
    </row>
    <row r="1478" spans="1:6" x14ac:dyDescent="0.3">
      <c r="A1478">
        <v>2024</v>
      </c>
      <c r="B1478">
        <v>7</v>
      </c>
      <c r="C1478" t="s">
        <v>40</v>
      </c>
      <c r="D1478" t="s">
        <v>48</v>
      </c>
      <c r="E1478" t="s">
        <v>51</v>
      </c>
      <c r="F1478">
        <v>10424.08</v>
      </c>
    </row>
    <row r="1479" spans="1:6" x14ac:dyDescent="0.3">
      <c r="A1479">
        <v>2024</v>
      </c>
      <c r="B1479">
        <v>7</v>
      </c>
      <c r="C1479" t="s">
        <v>41</v>
      </c>
      <c r="D1479" t="s">
        <v>48</v>
      </c>
      <c r="E1479" t="s">
        <v>51</v>
      </c>
      <c r="F1479">
        <v>53777.08</v>
      </c>
    </row>
    <row r="1480" spans="1:6" x14ac:dyDescent="0.3">
      <c r="A1480">
        <v>2024</v>
      </c>
      <c r="B1480">
        <v>7</v>
      </c>
      <c r="C1480" t="s">
        <v>42</v>
      </c>
      <c r="D1480" t="s">
        <v>48</v>
      </c>
      <c r="E1480" t="s">
        <v>51</v>
      </c>
      <c r="F1480">
        <v>47631.71</v>
      </c>
    </row>
    <row r="1481" spans="1:6" x14ac:dyDescent="0.3">
      <c r="A1481">
        <v>2024</v>
      </c>
      <c r="B1481">
        <v>7</v>
      </c>
      <c r="C1481" t="s">
        <v>43</v>
      </c>
      <c r="D1481" t="s">
        <v>48</v>
      </c>
      <c r="E1481" t="s">
        <v>51</v>
      </c>
      <c r="F1481">
        <v>93678.82</v>
      </c>
    </row>
    <row r="1482" spans="1:6" x14ac:dyDescent="0.3">
      <c r="A1482">
        <v>2024</v>
      </c>
      <c r="B1482">
        <v>7</v>
      </c>
      <c r="C1482" t="s">
        <v>44</v>
      </c>
      <c r="D1482" t="s">
        <v>48</v>
      </c>
      <c r="E1482" t="s">
        <v>51</v>
      </c>
      <c r="F1482">
        <v>99871.41</v>
      </c>
    </row>
    <row r="1483" spans="1:6" x14ac:dyDescent="0.3">
      <c r="A1483">
        <v>2024</v>
      </c>
      <c r="B1483">
        <v>7</v>
      </c>
      <c r="C1483" t="s">
        <v>45</v>
      </c>
      <c r="D1483" t="s">
        <v>48</v>
      </c>
      <c r="E1483" t="s">
        <v>51</v>
      </c>
      <c r="F1483">
        <v>20183.93</v>
      </c>
    </row>
    <row r="1484" spans="1:6" x14ac:dyDescent="0.3">
      <c r="A1484">
        <v>2024</v>
      </c>
      <c r="B1484">
        <v>7</v>
      </c>
      <c r="C1484" t="s">
        <v>37</v>
      </c>
      <c r="D1484" t="s">
        <v>48</v>
      </c>
      <c r="E1484" t="s">
        <v>52</v>
      </c>
      <c r="F1484">
        <v>72409.52</v>
      </c>
    </row>
    <row r="1485" spans="1:6" x14ac:dyDescent="0.3">
      <c r="A1485">
        <v>2024</v>
      </c>
      <c r="B1485">
        <v>7</v>
      </c>
      <c r="C1485" t="s">
        <v>40</v>
      </c>
      <c r="D1485" t="s">
        <v>48</v>
      </c>
      <c r="E1485" t="s">
        <v>52</v>
      </c>
      <c r="F1485">
        <v>106420.76</v>
      </c>
    </row>
    <row r="1486" spans="1:6" x14ac:dyDescent="0.3">
      <c r="A1486">
        <v>2024</v>
      </c>
      <c r="B1486">
        <v>7</v>
      </c>
      <c r="C1486" t="s">
        <v>41</v>
      </c>
      <c r="D1486" t="s">
        <v>48</v>
      </c>
      <c r="E1486" t="s">
        <v>52</v>
      </c>
      <c r="F1486">
        <v>15165.31</v>
      </c>
    </row>
    <row r="1487" spans="1:6" x14ac:dyDescent="0.3">
      <c r="A1487">
        <v>2024</v>
      </c>
      <c r="B1487">
        <v>7</v>
      </c>
      <c r="C1487" t="s">
        <v>42</v>
      </c>
      <c r="D1487" t="s">
        <v>48</v>
      </c>
      <c r="E1487" t="s">
        <v>52</v>
      </c>
      <c r="F1487">
        <v>112501</v>
      </c>
    </row>
    <row r="1488" spans="1:6" x14ac:dyDescent="0.3">
      <c r="A1488">
        <v>2024</v>
      </c>
      <c r="B1488">
        <v>7</v>
      </c>
      <c r="C1488" t="s">
        <v>43</v>
      </c>
      <c r="D1488" t="s">
        <v>48</v>
      </c>
      <c r="E1488" t="s">
        <v>52</v>
      </c>
      <c r="F1488">
        <v>100454.45</v>
      </c>
    </row>
    <row r="1489" spans="1:6" x14ac:dyDescent="0.3">
      <c r="A1489">
        <v>2024</v>
      </c>
      <c r="B1489">
        <v>7</v>
      </c>
      <c r="C1489" t="s">
        <v>44</v>
      </c>
      <c r="D1489" t="s">
        <v>48</v>
      </c>
      <c r="E1489" t="s">
        <v>52</v>
      </c>
      <c r="F1489">
        <v>55302.52</v>
      </c>
    </row>
    <row r="1490" spans="1:6" x14ac:dyDescent="0.3">
      <c r="A1490">
        <v>2024</v>
      </c>
      <c r="B1490">
        <v>7</v>
      </c>
      <c r="C1490" t="s">
        <v>45</v>
      </c>
      <c r="D1490" t="s">
        <v>48</v>
      </c>
      <c r="E1490" t="s">
        <v>52</v>
      </c>
      <c r="F1490">
        <v>79728.73</v>
      </c>
    </row>
    <row r="1491" spans="1:6" x14ac:dyDescent="0.3">
      <c r="A1491">
        <v>2024</v>
      </c>
      <c r="B1491">
        <v>7</v>
      </c>
      <c r="C1491" t="s">
        <v>37</v>
      </c>
      <c r="D1491" t="s">
        <v>48</v>
      </c>
      <c r="E1491" t="s">
        <v>53</v>
      </c>
      <c r="F1491">
        <v>101448.11</v>
      </c>
    </row>
    <row r="1492" spans="1:6" x14ac:dyDescent="0.3">
      <c r="A1492">
        <v>2024</v>
      </c>
      <c r="B1492">
        <v>7</v>
      </c>
      <c r="C1492" t="s">
        <v>40</v>
      </c>
      <c r="D1492" t="s">
        <v>48</v>
      </c>
      <c r="E1492" t="s">
        <v>53</v>
      </c>
      <c r="F1492">
        <v>101655.66</v>
      </c>
    </row>
    <row r="1493" spans="1:6" x14ac:dyDescent="0.3">
      <c r="A1493">
        <v>2024</v>
      </c>
      <c r="B1493">
        <v>7</v>
      </c>
      <c r="C1493" t="s">
        <v>41</v>
      </c>
      <c r="D1493" t="s">
        <v>48</v>
      </c>
      <c r="E1493" t="s">
        <v>53</v>
      </c>
      <c r="F1493">
        <v>87829.79</v>
      </c>
    </row>
    <row r="1494" spans="1:6" x14ac:dyDescent="0.3">
      <c r="A1494">
        <v>2024</v>
      </c>
      <c r="B1494">
        <v>7</v>
      </c>
      <c r="C1494" t="s">
        <v>42</v>
      </c>
      <c r="D1494" t="s">
        <v>48</v>
      </c>
      <c r="E1494" t="s">
        <v>53</v>
      </c>
      <c r="F1494">
        <v>11569.12</v>
      </c>
    </row>
    <row r="1495" spans="1:6" x14ac:dyDescent="0.3">
      <c r="A1495">
        <v>2024</v>
      </c>
      <c r="B1495">
        <v>7</v>
      </c>
      <c r="C1495" t="s">
        <v>43</v>
      </c>
      <c r="D1495" t="s">
        <v>48</v>
      </c>
      <c r="E1495" t="s">
        <v>53</v>
      </c>
      <c r="F1495">
        <v>80149.460000000006</v>
      </c>
    </row>
    <row r="1496" spans="1:6" x14ac:dyDescent="0.3">
      <c r="A1496">
        <v>2024</v>
      </c>
      <c r="B1496">
        <v>7</v>
      </c>
      <c r="C1496" t="s">
        <v>44</v>
      </c>
      <c r="D1496" t="s">
        <v>48</v>
      </c>
      <c r="E1496" t="s">
        <v>53</v>
      </c>
      <c r="F1496">
        <v>21904.78</v>
      </c>
    </row>
    <row r="1497" spans="1:6" x14ac:dyDescent="0.3">
      <c r="A1497">
        <v>2024</v>
      </c>
      <c r="B1497">
        <v>7</v>
      </c>
      <c r="C1497" t="s">
        <v>45</v>
      </c>
      <c r="D1497" t="s">
        <v>48</v>
      </c>
      <c r="E1497" t="s">
        <v>53</v>
      </c>
      <c r="F1497">
        <v>38191.58</v>
      </c>
    </row>
    <row r="1498" spans="1:6" x14ac:dyDescent="0.3">
      <c r="A1498">
        <v>2024</v>
      </c>
      <c r="B1498">
        <v>7</v>
      </c>
      <c r="C1498" t="s">
        <v>37</v>
      </c>
      <c r="D1498" t="s">
        <v>48</v>
      </c>
      <c r="E1498" t="s">
        <v>54</v>
      </c>
      <c r="F1498">
        <v>59491.44</v>
      </c>
    </row>
    <row r="1499" spans="1:6" x14ac:dyDescent="0.3">
      <c r="A1499">
        <v>2024</v>
      </c>
      <c r="B1499">
        <v>7</v>
      </c>
      <c r="C1499" t="s">
        <v>40</v>
      </c>
      <c r="D1499" t="s">
        <v>48</v>
      </c>
      <c r="E1499" t="s">
        <v>54</v>
      </c>
      <c r="F1499">
        <v>45772.28</v>
      </c>
    </row>
    <row r="1500" spans="1:6" x14ac:dyDescent="0.3">
      <c r="A1500">
        <v>2024</v>
      </c>
      <c r="B1500">
        <v>7</v>
      </c>
      <c r="C1500" t="s">
        <v>41</v>
      </c>
      <c r="D1500" t="s">
        <v>48</v>
      </c>
      <c r="E1500" t="s">
        <v>54</v>
      </c>
      <c r="F1500">
        <v>111183.32</v>
      </c>
    </row>
    <row r="1501" spans="1:6" x14ac:dyDescent="0.3">
      <c r="A1501">
        <v>2024</v>
      </c>
      <c r="B1501">
        <v>7</v>
      </c>
      <c r="C1501" t="s">
        <v>42</v>
      </c>
      <c r="D1501" t="s">
        <v>48</v>
      </c>
      <c r="E1501" t="s">
        <v>54</v>
      </c>
      <c r="F1501">
        <v>33287.699999999997</v>
      </c>
    </row>
    <row r="1502" spans="1:6" x14ac:dyDescent="0.3">
      <c r="A1502">
        <v>2024</v>
      </c>
      <c r="B1502">
        <v>7</v>
      </c>
      <c r="C1502" t="s">
        <v>43</v>
      </c>
      <c r="D1502" t="s">
        <v>48</v>
      </c>
      <c r="E1502" t="s">
        <v>54</v>
      </c>
      <c r="F1502">
        <v>48907.78</v>
      </c>
    </row>
    <row r="1503" spans="1:6" x14ac:dyDescent="0.3">
      <c r="A1503">
        <v>2024</v>
      </c>
      <c r="B1503">
        <v>7</v>
      </c>
      <c r="C1503" t="s">
        <v>44</v>
      </c>
      <c r="D1503" t="s">
        <v>48</v>
      </c>
      <c r="E1503" t="s">
        <v>54</v>
      </c>
      <c r="F1503">
        <v>84208.12</v>
      </c>
    </row>
    <row r="1504" spans="1:6" x14ac:dyDescent="0.3">
      <c r="A1504">
        <v>2024</v>
      </c>
      <c r="B1504">
        <v>7</v>
      </c>
      <c r="C1504" t="s">
        <v>45</v>
      </c>
      <c r="D1504" t="s">
        <v>48</v>
      </c>
      <c r="E1504" t="s">
        <v>54</v>
      </c>
      <c r="F1504">
        <v>116783.81</v>
      </c>
    </row>
    <row r="1505" spans="1:6" x14ac:dyDescent="0.3">
      <c r="A1505">
        <v>2024</v>
      </c>
      <c r="B1505">
        <v>7</v>
      </c>
      <c r="C1505" t="s">
        <v>37</v>
      </c>
      <c r="D1505" t="s">
        <v>48</v>
      </c>
      <c r="E1505" t="s">
        <v>55</v>
      </c>
      <c r="F1505">
        <v>58576.480000000003</v>
      </c>
    </row>
    <row r="1506" spans="1:6" x14ac:dyDescent="0.3">
      <c r="A1506">
        <v>2024</v>
      </c>
      <c r="B1506">
        <v>7</v>
      </c>
      <c r="C1506" t="s">
        <v>40</v>
      </c>
      <c r="D1506" t="s">
        <v>48</v>
      </c>
      <c r="E1506" t="s">
        <v>55</v>
      </c>
      <c r="F1506">
        <v>37657.17</v>
      </c>
    </row>
    <row r="1507" spans="1:6" x14ac:dyDescent="0.3">
      <c r="A1507">
        <v>2024</v>
      </c>
      <c r="B1507">
        <v>7</v>
      </c>
      <c r="C1507" t="s">
        <v>41</v>
      </c>
      <c r="D1507" t="s">
        <v>48</v>
      </c>
      <c r="E1507" t="s">
        <v>55</v>
      </c>
      <c r="F1507">
        <v>45105.41</v>
      </c>
    </row>
    <row r="1508" spans="1:6" x14ac:dyDescent="0.3">
      <c r="A1508">
        <v>2024</v>
      </c>
      <c r="B1508">
        <v>7</v>
      </c>
      <c r="C1508" t="s">
        <v>42</v>
      </c>
      <c r="D1508" t="s">
        <v>48</v>
      </c>
      <c r="E1508" t="s">
        <v>55</v>
      </c>
      <c r="F1508">
        <v>56654.14</v>
      </c>
    </row>
    <row r="1509" spans="1:6" x14ac:dyDescent="0.3">
      <c r="A1509">
        <v>2024</v>
      </c>
      <c r="B1509">
        <v>7</v>
      </c>
      <c r="C1509" t="s">
        <v>43</v>
      </c>
      <c r="D1509" t="s">
        <v>48</v>
      </c>
      <c r="E1509" t="s">
        <v>55</v>
      </c>
      <c r="F1509">
        <v>105024.95</v>
      </c>
    </row>
    <row r="1510" spans="1:6" x14ac:dyDescent="0.3">
      <c r="A1510">
        <v>2024</v>
      </c>
      <c r="B1510">
        <v>7</v>
      </c>
      <c r="C1510" t="s">
        <v>44</v>
      </c>
      <c r="D1510" t="s">
        <v>48</v>
      </c>
      <c r="E1510" t="s">
        <v>55</v>
      </c>
      <c r="F1510">
        <v>73790.740000000005</v>
      </c>
    </row>
    <row r="1511" spans="1:6" x14ac:dyDescent="0.3">
      <c r="A1511">
        <v>2024</v>
      </c>
      <c r="B1511">
        <v>7</v>
      </c>
      <c r="C1511" t="s">
        <v>45</v>
      </c>
      <c r="D1511" t="s">
        <v>48</v>
      </c>
      <c r="E1511" t="s">
        <v>55</v>
      </c>
      <c r="F1511">
        <v>48843.92</v>
      </c>
    </row>
    <row r="1512" spans="1:6" x14ac:dyDescent="0.3">
      <c r="A1512">
        <v>2024</v>
      </c>
      <c r="B1512">
        <v>7</v>
      </c>
      <c r="C1512" t="s">
        <v>37</v>
      </c>
      <c r="D1512" t="s">
        <v>48</v>
      </c>
      <c r="E1512" t="s">
        <v>56</v>
      </c>
      <c r="F1512">
        <v>44656.41</v>
      </c>
    </row>
    <row r="1513" spans="1:6" x14ac:dyDescent="0.3">
      <c r="A1513">
        <v>2024</v>
      </c>
      <c r="B1513">
        <v>7</v>
      </c>
      <c r="C1513" t="s">
        <v>40</v>
      </c>
      <c r="D1513" t="s">
        <v>48</v>
      </c>
      <c r="E1513" t="s">
        <v>56</v>
      </c>
      <c r="F1513">
        <v>41911.15</v>
      </c>
    </row>
    <row r="1514" spans="1:6" x14ac:dyDescent="0.3">
      <c r="A1514">
        <v>2024</v>
      </c>
      <c r="B1514">
        <v>7</v>
      </c>
      <c r="C1514" t="s">
        <v>41</v>
      </c>
      <c r="D1514" t="s">
        <v>48</v>
      </c>
      <c r="E1514" t="s">
        <v>56</v>
      </c>
      <c r="F1514">
        <v>109270.51</v>
      </c>
    </row>
    <row r="1515" spans="1:6" x14ac:dyDescent="0.3">
      <c r="A1515">
        <v>2024</v>
      </c>
      <c r="B1515">
        <v>7</v>
      </c>
      <c r="C1515" t="s">
        <v>42</v>
      </c>
      <c r="D1515" t="s">
        <v>48</v>
      </c>
      <c r="E1515" t="s">
        <v>56</v>
      </c>
      <c r="F1515">
        <v>41205.49</v>
      </c>
    </row>
    <row r="1516" spans="1:6" x14ac:dyDescent="0.3">
      <c r="A1516">
        <v>2024</v>
      </c>
      <c r="B1516">
        <v>7</v>
      </c>
      <c r="C1516" t="s">
        <v>43</v>
      </c>
      <c r="D1516" t="s">
        <v>48</v>
      </c>
      <c r="E1516" t="s">
        <v>56</v>
      </c>
      <c r="F1516">
        <v>42635.49</v>
      </c>
    </row>
    <row r="1517" spans="1:6" x14ac:dyDescent="0.3">
      <c r="A1517">
        <v>2024</v>
      </c>
      <c r="B1517">
        <v>7</v>
      </c>
      <c r="C1517" t="s">
        <v>44</v>
      </c>
      <c r="D1517" t="s">
        <v>48</v>
      </c>
      <c r="E1517" t="s">
        <v>56</v>
      </c>
      <c r="F1517">
        <v>112147.09</v>
      </c>
    </row>
    <row r="1518" spans="1:6" x14ac:dyDescent="0.3">
      <c r="A1518">
        <v>2024</v>
      </c>
      <c r="B1518">
        <v>7</v>
      </c>
      <c r="C1518" t="s">
        <v>45</v>
      </c>
      <c r="D1518" t="s">
        <v>48</v>
      </c>
      <c r="E1518" t="s">
        <v>56</v>
      </c>
      <c r="F1518">
        <v>31775.61</v>
      </c>
    </row>
    <row r="1519" spans="1:6" x14ac:dyDescent="0.3">
      <c r="A1519">
        <v>2024</v>
      </c>
      <c r="B1519">
        <v>7</v>
      </c>
      <c r="C1519" t="s">
        <v>37</v>
      </c>
      <c r="D1519" t="s">
        <v>57</v>
      </c>
      <c r="E1519" t="s">
        <v>58</v>
      </c>
      <c r="F1519">
        <v>73470.7</v>
      </c>
    </row>
    <row r="1520" spans="1:6" x14ac:dyDescent="0.3">
      <c r="A1520">
        <v>2024</v>
      </c>
      <c r="B1520">
        <v>7</v>
      </c>
      <c r="C1520" t="s">
        <v>37</v>
      </c>
      <c r="D1520" t="s">
        <v>57</v>
      </c>
      <c r="E1520" t="s">
        <v>59</v>
      </c>
      <c r="F1520">
        <v>82212.759999999995</v>
      </c>
    </row>
    <row r="1521" spans="1:6" x14ac:dyDescent="0.3">
      <c r="A1521">
        <v>2024</v>
      </c>
      <c r="B1521">
        <v>7</v>
      </c>
      <c r="C1521" t="s">
        <v>37</v>
      </c>
      <c r="D1521" t="s">
        <v>57</v>
      </c>
      <c r="E1521" t="s">
        <v>60</v>
      </c>
      <c r="F1521">
        <v>127292.14</v>
      </c>
    </row>
    <row r="1522" spans="1:6" x14ac:dyDescent="0.3">
      <c r="A1522">
        <v>2024</v>
      </c>
      <c r="B1522">
        <v>8</v>
      </c>
      <c r="C1522" t="s">
        <v>37</v>
      </c>
      <c r="D1522" t="s">
        <v>38</v>
      </c>
      <c r="E1522" t="s">
        <v>39</v>
      </c>
      <c r="F1522">
        <v>18522.63</v>
      </c>
    </row>
    <row r="1523" spans="1:6" x14ac:dyDescent="0.3">
      <c r="A1523">
        <v>2024</v>
      </c>
      <c r="B1523">
        <v>8</v>
      </c>
      <c r="C1523" t="s">
        <v>40</v>
      </c>
      <c r="D1523" t="s">
        <v>38</v>
      </c>
      <c r="E1523" t="s">
        <v>39</v>
      </c>
      <c r="F1523">
        <v>12813.49</v>
      </c>
    </row>
    <row r="1524" spans="1:6" x14ac:dyDescent="0.3">
      <c r="A1524">
        <v>2024</v>
      </c>
      <c r="B1524">
        <v>8</v>
      </c>
      <c r="C1524" t="s">
        <v>41</v>
      </c>
      <c r="D1524" t="s">
        <v>38</v>
      </c>
      <c r="E1524" t="s">
        <v>39</v>
      </c>
      <c r="F1524">
        <v>43946.84</v>
      </c>
    </row>
    <row r="1525" spans="1:6" x14ac:dyDescent="0.3">
      <c r="A1525">
        <v>2024</v>
      </c>
      <c r="B1525">
        <v>8</v>
      </c>
      <c r="C1525" t="s">
        <v>42</v>
      </c>
      <c r="D1525" t="s">
        <v>38</v>
      </c>
      <c r="E1525" t="s">
        <v>39</v>
      </c>
      <c r="F1525">
        <v>103530.47</v>
      </c>
    </row>
    <row r="1526" spans="1:6" x14ac:dyDescent="0.3">
      <c r="A1526">
        <v>2024</v>
      </c>
      <c r="B1526">
        <v>8</v>
      </c>
      <c r="C1526" t="s">
        <v>43</v>
      </c>
      <c r="D1526" t="s">
        <v>38</v>
      </c>
      <c r="E1526" t="s">
        <v>39</v>
      </c>
      <c r="F1526">
        <v>106276.24</v>
      </c>
    </row>
    <row r="1527" spans="1:6" x14ac:dyDescent="0.3">
      <c r="A1527">
        <v>2024</v>
      </c>
      <c r="B1527">
        <v>8</v>
      </c>
      <c r="C1527" t="s">
        <v>44</v>
      </c>
      <c r="D1527" t="s">
        <v>38</v>
      </c>
      <c r="E1527" t="s">
        <v>39</v>
      </c>
      <c r="F1527">
        <v>116904.97</v>
      </c>
    </row>
    <row r="1528" spans="1:6" x14ac:dyDescent="0.3">
      <c r="A1528">
        <v>2024</v>
      </c>
      <c r="B1528">
        <v>8</v>
      </c>
      <c r="C1528" t="s">
        <v>45</v>
      </c>
      <c r="D1528" t="s">
        <v>38</v>
      </c>
      <c r="E1528" t="s">
        <v>39</v>
      </c>
      <c r="F1528">
        <v>69890.97</v>
      </c>
    </row>
    <row r="1529" spans="1:6" x14ac:dyDescent="0.3">
      <c r="A1529">
        <v>2024</v>
      </c>
      <c r="B1529">
        <v>8</v>
      </c>
      <c r="C1529" t="s">
        <v>37</v>
      </c>
      <c r="D1529" t="s">
        <v>38</v>
      </c>
      <c r="E1529" t="s">
        <v>46</v>
      </c>
      <c r="F1529">
        <v>27078.11</v>
      </c>
    </row>
    <row r="1530" spans="1:6" x14ac:dyDescent="0.3">
      <c r="A1530">
        <v>2024</v>
      </c>
      <c r="B1530">
        <v>8</v>
      </c>
      <c r="C1530" t="s">
        <v>40</v>
      </c>
      <c r="D1530" t="s">
        <v>38</v>
      </c>
      <c r="E1530" t="s">
        <v>46</v>
      </c>
      <c r="F1530">
        <v>84455.82</v>
      </c>
    </row>
    <row r="1531" spans="1:6" x14ac:dyDescent="0.3">
      <c r="A1531">
        <v>2024</v>
      </c>
      <c r="B1531">
        <v>8</v>
      </c>
      <c r="C1531" t="s">
        <v>41</v>
      </c>
      <c r="D1531" t="s">
        <v>38</v>
      </c>
      <c r="E1531" t="s">
        <v>46</v>
      </c>
      <c r="F1531">
        <v>57457.26</v>
      </c>
    </row>
    <row r="1532" spans="1:6" x14ac:dyDescent="0.3">
      <c r="A1532">
        <v>2024</v>
      </c>
      <c r="B1532">
        <v>8</v>
      </c>
      <c r="C1532" t="s">
        <v>42</v>
      </c>
      <c r="D1532" t="s">
        <v>38</v>
      </c>
      <c r="E1532" t="s">
        <v>46</v>
      </c>
      <c r="F1532">
        <v>110441.38</v>
      </c>
    </row>
    <row r="1533" spans="1:6" x14ac:dyDescent="0.3">
      <c r="A1533">
        <v>2024</v>
      </c>
      <c r="B1533">
        <v>8</v>
      </c>
      <c r="C1533" t="s">
        <v>43</v>
      </c>
      <c r="D1533" t="s">
        <v>38</v>
      </c>
      <c r="E1533" t="s">
        <v>46</v>
      </c>
      <c r="F1533">
        <v>55780.63</v>
      </c>
    </row>
    <row r="1534" spans="1:6" x14ac:dyDescent="0.3">
      <c r="A1534">
        <v>2024</v>
      </c>
      <c r="B1534">
        <v>8</v>
      </c>
      <c r="C1534" t="s">
        <v>44</v>
      </c>
      <c r="D1534" t="s">
        <v>38</v>
      </c>
      <c r="E1534" t="s">
        <v>46</v>
      </c>
      <c r="F1534">
        <v>118347.79</v>
      </c>
    </row>
    <row r="1535" spans="1:6" x14ac:dyDescent="0.3">
      <c r="A1535">
        <v>2024</v>
      </c>
      <c r="B1535">
        <v>8</v>
      </c>
      <c r="C1535" t="s">
        <v>45</v>
      </c>
      <c r="D1535" t="s">
        <v>38</v>
      </c>
      <c r="E1535" t="s">
        <v>46</v>
      </c>
      <c r="F1535">
        <v>23343.56</v>
      </c>
    </row>
    <row r="1536" spans="1:6" x14ac:dyDescent="0.3">
      <c r="A1536">
        <v>2024</v>
      </c>
      <c r="B1536">
        <v>8</v>
      </c>
      <c r="C1536" t="s">
        <v>37</v>
      </c>
      <c r="D1536" t="s">
        <v>38</v>
      </c>
      <c r="E1536" t="s">
        <v>47</v>
      </c>
      <c r="F1536">
        <v>103087.94</v>
      </c>
    </row>
    <row r="1537" spans="1:6" x14ac:dyDescent="0.3">
      <c r="A1537">
        <v>2024</v>
      </c>
      <c r="B1537">
        <v>8</v>
      </c>
      <c r="C1537" t="s">
        <v>40</v>
      </c>
      <c r="D1537" t="s">
        <v>38</v>
      </c>
      <c r="E1537" t="s">
        <v>47</v>
      </c>
      <c r="F1537">
        <v>108754.69</v>
      </c>
    </row>
    <row r="1538" spans="1:6" x14ac:dyDescent="0.3">
      <c r="A1538">
        <v>2024</v>
      </c>
      <c r="B1538">
        <v>8</v>
      </c>
      <c r="C1538" t="s">
        <v>41</v>
      </c>
      <c r="D1538" t="s">
        <v>38</v>
      </c>
      <c r="E1538" t="s">
        <v>47</v>
      </c>
      <c r="F1538">
        <v>117859.63</v>
      </c>
    </row>
    <row r="1539" spans="1:6" x14ac:dyDescent="0.3">
      <c r="A1539">
        <v>2024</v>
      </c>
      <c r="B1539">
        <v>8</v>
      </c>
      <c r="C1539" t="s">
        <v>42</v>
      </c>
      <c r="D1539" t="s">
        <v>38</v>
      </c>
      <c r="E1539" t="s">
        <v>47</v>
      </c>
      <c r="F1539">
        <v>51470.400000000001</v>
      </c>
    </row>
    <row r="1540" spans="1:6" x14ac:dyDescent="0.3">
      <c r="A1540">
        <v>2024</v>
      </c>
      <c r="B1540">
        <v>8</v>
      </c>
      <c r="C1540" t="s">
        <v>43</v>
      </c>
      <c r="D1540" t="s">
        <v>38</v>
      </c>
      <c r="E1540" t="s">
        <v>47</v>
      </c>
      <c r="F1540">
        <v>36505.97</v>
      </c>
    </row>
    <row r="1541" spans="1:6" x14ac:dyDescent="0.3">
      <c r="A1541">
        <v>2024</v>
      </c>
      <c r="B1541">
        <v>8</v>
      </c>
      <c r="C1541" t="s">
        <v>44</v>
      </c>
      <c r="D1541" t="s">
        <v>38</v>
      </c>
      <c r="E1541" t="s">
        <v>47</v>
      </c>
      <c r="F1541">
        <v>77768.13</v>
      </c>
    </row>
    <row r="1542" spans="1:6" x14ac:dyDescent="0.3">
      <c r="A1542">
        <v>2024</v>
      </c>
      <c r="B1542">
        <v>8</v>
      </c>
      <c r="C1542" t="s">
        <v>45</v>
      </c>
      <c r="D1542" t="s">
        <v>38</v>
      </c>
      <c r="E1542" t="s">
        <v>47</v>
      </c>
      <c r="F1542">
        <v>82135.13</v>
      </c>
    </row>
    <row r="1543" spans="1:6" x14ac:dyDescent="0.3">
      <c r="A1543">
        <v>2024</v>
      </c>
      <c r="B1543">
        <v>8</v>
      </c>
      <c r="C1543" t="s">
        <v>37</v>
      </c>
      <c r="D1543" t="s">
        <v>48</v>
      </c>
      <c r="E1543" t="s">
        <v>49</v>
      </c>
      <c r="F1543">
        <v>112881.54</v>
      </c>
    </row>
    <row r="1544" spans="1:6" x14ac:dyDescent="0.3">
      <c r="A1544">
        <v>2024</v>
      </c>
      <c r="B1544">
        <v>8</v>
      </c>
      <c r="C1544" t="s">
        <v>40</v>
      </c>
      <c r="D1544" t="s">
        <v>48</v>
      </c>
      <c r="E1544" t="s">
        <v>49</v>
      </c>
      <c r="F1544">
        <v>44177.42</v>
      </c>
    </row>
    <row r="1545" spans="1:6" x14ac:dyDescent="0.3">
      <c r="A1545">
        <v>2024</v>
      </c>
      <c r="B1545">
        <v>8</v>
      </c>
      <c r="C1545" t="s">
        <v>41</v>
      </c>
      <c r="D1545" t="s">
        <v>48</v>
      </c>
      <c r="E1545" t="s">
        <v>49</v>
      </c>
      <c r="F1545">
        <v>72795.05</v>
      </c>
    </row>
    <row r="1546" spans="1:6" x14ac:dyDescent="0.3">
      <c r="A1546">
        <v>2024</v>
      </c>
      <c r="B1546">
        <v>8</v>
      </c>
      <c r="C1546" t="s">
        <v>42</v>
      </c>
      <c r="D1546" t="s">
        <v>48</v>
      </c>
      <c r="E1546" t="s">
        <v>49</v>
      </c>
      <c r="F1546">
        <v>31168.07</v>
      </c>
    </row>
    <row r="1547" spans="1:6" x14ac:dyDescent="0.3">
      <c r="A1547">
        <v>2024</v>
      </c>
      <c r="B1547">
        <v>8</v>
      </c>
      <c r="C1547" t="s">
        <v>43</v>
      </c>
      <c r="D1547" t="s">
        <v>48</v>
      </c>
      <c r="E1547" t="s">
        <v>49</v>
      </c>
      <c r="F1547">
        <v>115130.18</v>
      </c>
    </row>
    <row r="1548" spans="1:6" x14ac:dyDescent="0.3">
      <c r="A1548">
        <v>2024</v>
      </c>
      <c r="B1548">
        <v>8</v>
      </c>
      <c r="C1548" t="s">
        <v>44</v>
      </c>
      <c r="D1548" t="s">
        <v>48</v>
      </c>
      <c r="E1548" t="s">
        <v>49</v>
      </c>
      <c r="F1548">
        <v>117251.86</v>
      </c>
    </row>
    <row r="1549" spans="1:6" x14ac:dyDescent="0.3">
      <c r="A1549">
        <v>2024</v>
      </c>
      <c r="B1549">
        <v>8</v>
      </c>
      <c r="C1549" t="s">
        <v>45</v>
      </c>
      <c r="D1549" t="s">
        <v>48</v>
      </c>
      <c r="E1549" t="s">
        <v>49</v>
      </c>
      <c r="F1549">
        <v>84079.34</v>
      </c>
    </row>
    <row r="1550" spans="1:6" x14ac:dyDescent="0.3">
      <c r="A1550">
        <v>2024</v>
      </c>
      <c r="B1550">
        <v>8</v>
      </c>
      <c r="C1550" t="s">
        <v>37</v>
      </c>
      <c r="D1550" t="s">
        <v>48</v>
      </c>
      <c r="E1550" t="s">
        <v>50</v>
      </c>
      <c r="F1550">
        <v>95707.95</v>
      </c>
    </row>
    <row r="1551" spans="1:6" x14ac:dyDescent="0.3">
      <c r="A1551">
        <v>2024</v>
      </c>
      <c r="B1551">
        <v>8</v>
      </c>
      <c r="C1551" t="s">
        <v>40</v>
      </c>
      <c r="D1551" t="s">
        <v>48</v>
      </c>
      <c r="E1551" t="s">
        <v>50</v>
      </c>
      <c r="F1551">
        <v>15987.87</v>
      </c>
    </row>
    <row r="1552" spans="1:6" x14ac:dyDescent="0.3">
      <c r="A1552">
        <v>2024</v>
      </c>
      <c r="B1552">
        <v>8</v>
      </c>
      <c r="C1552" t="s">
        <v>41</v>
      </c>
      <c r="D1552" t="s">
        <v>48</v>
      </c>
      <c r="E1552" t="s">
        <v>50</v>
      </c>
      <c r="F1552">
        <v>79716.08</v>
      </c>
    </row>
    <row r="1553" spans="1:6" x14ac:dyDescent="0.3">
      <c r="A1553">
        <v>2024</v>
      </c>
      <c r="B1553">
        <v>8</v>
      </c>
      <c r="C1553" t="s">
        <v>42</v>
      </c>
      <c r="D1553" t="s">
        <v>48</v>
      </c>
      <c r="E1553" t="s">
        <v>50</v>
      </c>
      <c r="F1553">
        <v>63662.58</v>
      </c>
    </row>
    <row r="1554" spans="1:6" x14ac:dyDescent="0.3">
      <c r="A1554">
        <v>2024</v>
      </c>
      <c r="B1554">
        <v>8</v>
      </c>
      <c r="C1554" t="s">
        <v>43</v>
      </c>
      <c r="D1554" t="s">
        <v>48</v>
      </c>
      <c r="E1554" t="s">
        <v>50</v>
      </c>
      <c r="F1554">
        <v>42808.84</v>
      </c>
    </row>
    <row r="1555" spans="1:6" x14ac:dyDescent="0.3">
      <c r="A1555">
        <v>2024</v>
      </c>
      <c r="B1555">
        <v>8</v>
      </c>
      <c r="C1555" t="s">
        <v>44</v>
      </c>
      <c r="D1555" t="s">
        <v>48</v>
      </c>
      <c r="E1555" t="s">
        <v>50</v>
      </c>
      <c r="F1555">
        <v>97594.55</v>
      </c>
    </row>
    <row r="1556" spans="1:6" x14ac:dyDescent="0.3">
      <c r="A1556">
        <v>2024</v>
      </c>
      <c r="B1556">
        <v>8</v>
      </c>
      <c r="C1556" t="s">
        <v>45</v>
      </c>
      <c r="D1556" t="s">
        <v>48</v>
      </c>
      <c r="E1556" t="s">
        <v>50</v>
      </c>
      <c r="F1556">
        <v>74417.87</v>
      </c>
    </row>
    <row r="1557" spans="1:6" x14ac:dyDescent="0.3">
      <c r="A1557">
        <v>2024</v>
      </c>
      <c r="B1557">
        <v>8</v>
      </c>
      <c r="C1557" t="s">
        <v>37</v>
      </c>
      <c r="D1557" t="s">
        <v>48</v>
      </c>
      <c r="E1557" t="s">
        <v>51</v>
      </c>
      <c r="F1557">
        <v>117683.42</v>
      </c>
    </row>
    <row r="1558" spans="1:6" x14ac:dyDescent="0.3">
      <c r="A1558">
        <v>2024</v>
      </c>
      <c r="B1558">
        <v>8</v>
      </c>
      <c r="C1558" t="s">
        <v>40</v>
      </c>
      <c r="D1558" t="s">
        <v>48</v>
      </c>
      <c r="E1558" t="s">
        <v>51</v>
      </c>
      <c r="F1558">
        <v>119859.35</v>
      </c>
    </row>
    <row r="1559" spans="1:6" x14ac:dyDescent="0.3">
      <c r="A1559">
        <v>2024</v>
      </c>
      <c r="B1559">
        <v>8</v>
      </c>
      <c r="C1559" t="s">
        <v>41</v>
      </c>
      <c r="D1559" t="s">
        <v>48</v>
      </c>
      <c r="E1559" t="s">
        <v>51</v>
      </c>
      <c r="F1559">
        <v>85050.41</v>
      </c>
    </row>
    <row r="1560" spans="1:6" x14ac:dyDescent="0.3">
      <c r="A1560">
        <v>2024</v>
      </c>
      <c r="B1560">
        <v>8</v>
      </c>
      <c r="C1560" t="s">
        <v>42</v>
      </c>
      <c r="D1560" t="s">
        <v>48</v>
      </c>
      <c r="E1560" t="s">
        <v>51</v>
      </c>
      <c r="F1560">
        <v>55415.65</v>
      </c>
    </row>
    <row r="1561" spans="1:6" x14ac:dyDescent="0.3">
      <c r="A1561">
        <v>2024</v>
      </c>
      <c r="B1561">
        <v>8</v>
      </c>
      <c r="C1561" t="s">
        <v>43</v>
      </c>
      <c r="D1561" t="s">
        <v>48</v>
      </c>
      <c r="E1561" t="s">
        <v>51</v>
      </c>
      <c r="F1561">
        <v>117835.26</v>
      </c>
    </row>
    <row r="1562" spans="1:6" x14ac:dyDescent="0.3">
      <c r="A1562">
        <v>2024</v>
      </c>
      <c r="B1562">
        <v>8</v>
      </c>
      <c r="C1562" t="s">
        <v>44</v>
      </c>
      <c r="D1562" t="s">
        <v>48</v>
      </c>
      <c r="E1562" t="s">
        <v>51</v>
      </c>
      <c r="F1562">
        <v>67215.56</v>
      </c>
    </row>
    <row r="1563" spans="1:6" x14ac:dyDescent="0.3">
      <c r="A1563">
        <v>2024</v>
      </c>
      <c r="B1563">
        <v>8</v>
      </c>
      <c r="C1563" t="s">
        <v>45</v>
      </c>
      <c r="D1563" t="s">
        <v>48</v>
      </c>
      <c r="E1563" t="s">
        <v>51</v>
      </c>
      <c r="F1563">
        <v>32384.02</v>
      </c>
    </row>
    <row r="1564" spans="1:6" x14ac:dyDescent="0.3">
      <c r="A1564">
        <v>2024</v>
      </c>
      <c r="B1564">
        <v>8</v>
      </c>
      <c r="C1564" t="s">
        <v>37</v>
      </c>
      <c r="D1564" t="s">
        <v>48</v>
      </c>
      <c r="E1564" t="s">
        <v>52</v>
      </c>
      <c r="F1564">
        <v>50620.87</v>
      </c>
    </row>
    <row r="1565" spans="1:6" x14ac:dyDescent="0.3">
      <c r="A1565">
        <v>2024</v>
      </c>
      <c r="B1565">
        <v>8</v>
      </c>
      <c r="C1565" t="s">
        <v>40</v>
      </c>
      <c r="D1565" t="s">
        <v>48</v>
      </c>
      <c r="E1565" t="s">
        <v>52</v>
      </c>
      <c r="F1565">
        <v>78607.25</v>
      </c>
    </row>
    <row r="1566" spans="1:6" x14ac:dyDescent="0.3">
      <c r="A1566">
        <v>2024</v>
      </c>
      <c r="B1566">
        <v>8</v>
      </c>
      <c r="C1566" t="s">
        <v>41</v>
      </c>
      <c r="D1566" t="s">
        <v>48</v>
      </c>
      <c r="E1566" t="s">
        <v>52</v>
      </c>
      <c r="F1566">
        <v>46892.93</v>
      </c>
    </row>
    <row r="1567" spans="1:6" x14ac:dyDescent="0.3">
      <c r="A1567">
        <v>2024</v>
      </c>
      <c r="B1567">
        <v>8</v>
      </c>
      <c r="C1567" t="s">
        <v>42</v>
      </c>
      <c r="D1567" t="s">
        <v>48</v>
      </c>
      <c r="E1567" t="s">
        <v>52</v>
      </c>
      <c r="F1567">
        <v>62093.43</v>
      </c>
    </row>
    <row r="1568" spans="1:6" x14ac:dyDescent="0.3">
      <c r="A1568">
        <v>2024</v>
      </c>
      <c r="B1568">
        <v>8</v>
      </c>
      <c r="C1568" t="s">
        <v>43</v>
      </c>
      <c r="D1568" t="s">
        <v>48</v>
      </c>
      <c r="E1568" t="s">
        <v>52</v>
      </c>
      <c r="F1568">
        <v>70378.720000000001</v>
      </c>
    </row>
    <row r="1569" spans="1:6" x14ac:dyDescent="0.3">
      <c r="A1569">
        <v>2024</v>
      </c>
      <c r="B1569">
        <v>8</v>
      </c>
      <c r="C1569" t="s">
        <v>44</v>
      </c>
      <c r="D1569" t="s">
        <v>48</v>
      </c>
      <c r="E1569" t="s">
        <v>52</v>
      </c>
      <c r="F1569">
        <v>19534.53</v>
      </c>
    </row>
    <row r="1570" spans="1:6" x14ac:dyDescent="0.3">
      <c r="A1570">
        <v>2024</v>
      </c>
      <c r="B1570">
        <v>8</v>
      </c>
      <c r="C1570" t="s">
        <v>45</v>
      </c>
      <c r="D1570" t="s">
        <v>48</v>
      </c>
      <c r="E1570" t="s">
        <v>52</v>
      </c>
      <c r="F1570">
        <v>79480.160000000003</v>
      </c>
    </row>
    <row r="1571" spans="1:6" x14ac:dyDescent="0.3">
      <c r="A1571">
        <v>2024</v>
      </c>
      <c r="B1571">
        <v>8</v>
      </c>
      <c r="C1571" t="s">
        <v>37</v>
      </c>
      <c r="D1571" t="s">
        <v>48</v>
      </c>
      <c r="E1571" t="s">
        <v>53</v>
      </c>
      <c r="F1571">
        <v>25701.79</v>
      </c>
    </row>
    <row r="1572" spans="1:6" x14ac:dyDescent="0.3">
      <c r="A1572">
        <v>2024</v>
      </c>
      <c r="B1572">
        <v>8</v>
      </c>
      <c r="C1572" t="s">
        <v>40</v>
      </c>
      <c r="D1572" t="s">
        <v>48</v>
      </c>
      <c r="E1572" t="s">
        <v>53</v>
      </c>
      <c r="F1572">
        <v>99098.8</v>
      </c>
    </row>
    <row r="1573" spans="1:6" x14ac:dyDescent="0.3">
      <c r="A1573">
        <v>2024</v>
      </c>
      <c r="B1573">
        <v>8</v>
      </c>
      <c r="C1573" t="s">
        <v>41</v>
      </c>
      <c r="D1573" t="s">
        <v>48</v>
      </c>
      <c r="E1573" t="s">
        <v>53</v>
      </c>
      <c r="F1573">
        <v>10536.12</v>
      </c>
    </row>
    <row r="1574" spans="1:6" x14ac:dyDescent="0.3">
      <c r="A1574">
        <v>2024</v>
      </c>
      <c r="B1574">
        <v>8</v>
      </c>
      <c r="C1574" t="s">
        <v>42</v>
      </c>
      <c r="D1574" t="s">
        <v>48</v>
      </c>
      <c r="E1574" t="s">
        <v>53</v>
      </c>
      <c r="F1574">
        <v>59271.85</v>
      </c>
    </row>
    <row r="1575" spans="1:6" x14ac:dyDescent="0.3">
      <c r="A1575">
        <v>2024</v>
      </c>
      <c r="B1575">
        <v>8</v>
      </c>
      <c r="C1575" t="s">
        <v>43</v>
      </c>
      <c r="D1575" t="s">
        <v>48</v>
      </c>
      <c r="E1575" t="s">
        <v>53</v>
      </c>
      <c r="F1575">
        <v>48878.18</v>
      </c>
    </row>
    <row r="1576" spans="1:6" x14ac:dyDescent="0.3">
      <c r="A1576">
        <v>2024</v>
      </c>
      <c r="B1576">
        <v>8</v>
      </c>
      <c r="C1576" t="s">
        <v>44</v>
      </c>
      <c r="D1576" t="s">
        <v>48</v>
      </c>
      <c r="E1576" t="s">
        <v>53</v>
      </c>
      <c r="F1576">
        <v>92930.27</v>
      </c>
    </row>
    <row r="1577" spans="1:6" x14ac:dyDescent="0.3">
      <c r="A1577">
        <v>2024</v>
      </c>
      <c r="B1577">
        <v>8</v>
      </c>
      <c r="C1577" t="s">
        <v>45</v>
      </c>
      <c r="D1577" t="s">
        <v>48</v>
      </c>
      <c r="E1577" t="s">
        <v>53</v>
      </c>
      <c r="F1577">
        <v>30967.54</v>
      </c>
    </row>
    <row r="1578" spans="1:6" x14ac:dyDescent="0.3">
      <c r="A1578">
        <v>2024</v>
      </c>
      <c r="B1578">
        <v>8</v>
      </c>
      <c r="C1578" t="s">
        <v>37</v>
      </c>
      <c r="D1578" t="s">
        <v>48</v>
      </c>
      <c r="E1578" t="s">
        <v>54</v>
      </c>
      <c r="F1578">
        <v>93293.03</v>
      </c>
    </row>
    <row r="1579" spans="1:6" x14ac:dyDescent="0.3">
      <c r="A1579">
        <v>2024</v>
      </c>
      <c r="B1579">
        <v>8</v>
      </c>
      <c r="C1579" t="s">
        <v>40</v>
      </c>
      <c r="D1579" t="s">
        <v>48</v>
      </c>
      <c r="E1579" t="s">
        <v>54</v>
      </c>
      <c r="F1579">
        <v>69234.67</v>
      </c>
    </row>
    <row r="1580" spans="1:6" x14ac:dyDescent="0.3">
      <c r="A1580">
        <v>2024</v>
      </c>
      <c r="B1580">
        <v>8</v>
      </c>
      <c r="C1580" t="s">
        <v>41</v>
      </c>
      <c r="D1580" t="s">
        <v>48</v>
      </c>
      <c r="E1580" t="s">
        <v>54</v>
      </c>
      <c r="F1580">
        <v>54932.22</v>
      </c>
    </row>
    <row r="1581" spans="1:6" x14ac:dyDescent="0.3">
      <c r="A1581">
        <v>2024</v>
      </c>
      <c r="B1581">
        <v>8</v>
      </c>
      <c r="C1581" t="s">
        <v>42</v>
      </c>
      <c r="D1581" t="s">
        <v>48</v>
      </c>
      <c r="E1581" t="s">
        <v>54</v>
      </c>
      <c r="F1581">
        <v>43458.720000000001</v>
      </c>
    </row>
    <row r="1582" spans="1:6" x14ac:dyDescent="0.3">
      <c r="A1582">
        <v>2024</v>
      </c>
      <c r="B1582">
        <v>8</v>
      </c>
      <c r="C1582" t="s">
        <v>43</v>
      </c>
      <c r="D1582" t="s">
        <v>48</v>
      </c>
      <c r="E1582" t="s">
        <v>54</v>
      </c>
      <c r="F1582">
        <v>52496.87</v>
      </c>
    </row>
    <row r="1583" spans="1:6" x14ac:dyDescent="0.3">
      <c r="A1583">
        <v>2024</v>
      </c>
      <c r="B1583">
        <v>8</v>
      </c>
      <c r="C1583" t="s">
        <v>44</v>
      </c>
      <c r="D1583" t="s">
        <v>48</v>
      </c>
      <c r="E1583" t="s">
        <v>54</v>
      </c>
      <c r="F1583">
        <v>109998.53</v>
      </c>
    </row>
    <row r="1584" spans="1:6" x14ac:dyDescent="0.3">
      <c r="A1584">
        <v>2024</v>
      </c>
      <c r="B1584">
        <v>8</v>
      </c>
      <c r="C1584" t="s">
        <v>45</v>
      </c>
      <c r="D1584" t="s">
        <v>48</v>
      </c>
      <c r="E1584" t="s">
        <v>54</v>
      </c>
      <c r="F1584">
        <v>80994.149999999994</v>
      </c>
    </row>
    <row r="1585" spans="1:6" x14ac:dyDescent="0.3">
      <c r="A1585">
        <v>2024</v>
      </c>
      <c r="B1585">
        <v>8</v>
      </c>
      <c r="C1585" t="s">
        <v>37</v>
      </c>
      <c r="D1585" t="s">
        <v>48</v>
      </c>
      <c r="E1585" t="s">
        <v>55</v>
      </c>
      <c r="F1585">
        <v>26811.19</v>
      </c>
    </row>
    <row r="1586" spans="1:6" x14ac:dyDescent="0.3">
      <c r="A1586">
        <v>2024</v>
      </c>
      <c r="B1586">
        <v>8</v>
      </c>
      <c r="C1586" t="s">
        <v>40</v>
      </c>
      <c r="D1586" t="s">
        <v>48</v>
      </c>
      <c r="E1586" t="s">
        <v>55</v>
      </c>
      <c r="F1586">
        <v>64871.01</v>
      </c>
    </row>
    <row r="1587" spans="1:6" x14ac:dyDescent="0.3">
      <c r="A1587">
        <v>2024</v>
      </c>
      <c r="B1587">
        <v>8</v>
      </c>
      <c r="C1587" t="s">
        <v>41</v>
      </c>
      <c r="D1587" t="s">
        <v>48</v>
      </c>
      <c r="E1587" t="s">
        <v>55</v>
      </c>
      <c r="F1587">
        <v>90165.42</v>
      </c>
    </row>
    <row r="1588" spans="1:6" x14ac:dyDescent="0.3">
      <c r="A1588">
        <v>2024</v>
      </c>
      <c r="B1588">
        <v>8</v>
      </c>
      <c r="C1588" t="s">
        <v>42</v>
      </c>
      <c r="D1588" t="s">
        <v>48</v>
      </c>
      <c r="E1588" t="s">
        <v>55</v>
      </c>
      <c r="F1588">
        <v>88937.53</v>
      </c>
    </row>
    <row r="1589" spans="1:6" x14ac:dyDescent="0.3">
      <c r="A1589">
        <v>2024</v>
      </c>
      <c r="B1589">
        <v>8</v>
      </c>
      <c r="C1589" t="s">
        <v>43</v>
      </c>
      <c r="D1589" t="s">
        <v>48</v>
      </c>
      <c r="E1589" t="s">
        <v>55</v>
      </c>
      <c r="F1589">
        <v>53544.12</v>
      </c>
    </row>
    <row r="1590" spans="1:6" x14ac:dyDescent="0.3">
      <c r="A1590">
        <v>2024</v>
      </c>
      <c r="B1590">
        <v>8</v>
      </c>
      <c r="C1590" t="s">
        <v>44</v>
      </c>
      <c r="D1590" t="s">
        <v>48</v>
      </c>
      <c r="E1590" t="s">
        <v>55</v>
      </c>
      <c r="F1590">
        <v>87800.4</v>
      </c>
    </row>
    <row r="1591" spans="1:6" x14ac:dyDescent="0.3">
      <c r="A1591">
        <v>2024</v>
      </c>
      <c r="B1591">
        <v>8</v>
      </c>
      <c r="C1591" t="s">
        <v>45</v>
      </c>
      <c r="D1591" t="s">
        <v>48</v>
      </c>
      <c r="E1591" t="s">
        <v>55</v>
      </c>
      <c r="F1591">
        <v>76271.460000000006</v>
      </c>
    </row>
    <row r="1592" spans="1:6" x14ac:dyDescent="0.3">
      <c r="A1592">
        <v>2024</v>
      </c>
      <c r="B1592">
        <v>8</v>
      </c>
      <c r="C1592" t="s">
        <v>37</v>
      </c>
      <c r="D1592" t="s">
        <v>48</v>
      </c>
      <c r="E1592" t="s">
        <v>56</v>
      </c>
      <c r="F1592">
        <v>118817.29</v>
      </c>
    </row>
    <row r="1593" spans="1:6" x14ac:dyDescent="0.3">
      <c r="A1593">
        <v>2024</v>
      </c>
      <c r="B1593">
        <v>8</v>
      </c>
      <c r="C1593" t="s">
        <v>40</v>
      </c>
      <c r="D1593" t="s">
        <v>48</v>
      </c>
      <c r="E1593" t="s">
        <v>56</v>
      </c>
      <c r="F1593">
        <v>117468.89</v>
      </c>
    </row>
    <row r="1594" spans="1:6" x14ac:dyDescent="0.3">
      <c r="A1594">
        <v>2024</v>
      </c>
      <c r="B1594">
        <v>8</v>
      </c>
      <c r="C1594" t="s">
        <v>41</v>
      </c>
      <c r="D1594" t="s">
        <v>48</v>
      </c>
      <c r="E1594" t="s">
        <v>56</v>
      </c>
      <c r="F1594">
        <v>96584.26</v>
      </c>
    </row>
    <row r="1595" spans="1:6" x14ac:dyDescent="0.3">
      <c r="A1595">
        <v>2024</v>
      </c>
      <c r="B1595">
        <v>8</v>
      </c>
      <c r="C1595" t="s">
        <v>42</v>
      </c>
      <c r="D1595" t="s">
        <v>48</v>
      </c>
      <c r="E1595" t="s">
        <v>56</v>
      </c>
      <c r="F1595">
        <v>85022.62</v>
      </c>
    </row>
    <row r="1596" spans="1:6" x14ac:dyDescent="0.3">
      <c r="A1596">
        <v>2024</v>
      </c>
      <c r="B1596">
        <v>8</v>
      </c>
      <c r="C1596" t="s">
        <v>43</v>
      </c>
      <c r="D1596" t="s">
        <v>48</v>
      </c>
      <c r="E1596" t="s">
        <v>56</v>
      </c>
      <c r="F1596">
        <v>92083.08</v>
      </c>
    </row>
    <row r="1597" spans="1:6" x14ac:dyDescent="0.3">
      <c r="A1597">
        <v>2024</v>
      </c>
      <c r="B1597">
        <v>8</v>
      </c>
      <c r="C1597" t="s">
        <v>44</v>
      </c>
      <c r="D1597" t="s">
        <v>48</v>
      </c>
      <c r="E1597" t="s">
        <v>56</v>
      </c>
      <c r="F1597">
        <v>40038</v>
      </c>
    </row>
    <row r="1598" spans="1:6" x14ac:dyDescent="0.3">
      <c r="A1598">
        <v>2024</v>
      </c>
      <c r="B1598">
        <v>8</v>
      </c>
      <c r="C1598" t="s">
        <v>45</v>
      </c>
      <c r="D1598" t="s">
        <v>48</v>
      </c>
      <c r="E1598" t="s">
        <v>56</v>
      </c>
      <c r="F1598">
        <v>98775.83</v>
      </c>
    </row>
    <row r="1599" spans="1:6" x14ac:dyDescent="0.3">
      <c r="A1599">
        <v>2024</v>
      </c>
      <c r="B1599">
        <v>8</v>
      </c>
      <c r="C1599" t="s">
        <v>37</v>
      </c>
      <c r="D1599" t="s">
        <v>57</v>
      </c>
      <c r="E1599" t="s">
        <v>58</v>
      </c>
      <c r="F1599">
        <v>18789.7</v>
      </c>
    </row>
    <row r="1600" spans="1:6" x14ac:dyDescent="0.3">
      <c r="A1600">
        <v>2024</v>
      </c>
      <c r="B1600">
        <v>8</v>
      </c>
      <c r="C1600" t="s">
        <v>37</v>
      </c>
      <c r="D1600" t="s">
        <v>57</v>
      </c>
      <c r="E1600" t="s">
        <v>59</v>
      </c>
      <c r="F1600">
        <v>32448.21</v>
      </c>
    </row>
    <row r="1601" spans="1:6" x14ac:dyDescent="0.3">
      <c r="A1601">
        <v>2024</v>
      </c>
      <c r="B1601">
        <v>8</v>
      </c>
      <c r="C1601" t="s">
        <v>37</v>
      </c>
      <c r="D1601" t="s">
        <v>57</v>
      </c>
      <c r="E1601" t="s">
        <v>60</v>
      </c>
      <c r="F1601">
        <v>42131.92</v>
      </c>
    </row>
    <row r="1602" spans="1:6" x14ac:dyDescent="0.3">
      <c r="A1602">
        <v>2024</v>
      </c>
      <c r="B1602">
        <v>9</v>
      </c>
      <c r="C1602" t="s">
        <v>37</v>
      </c>
      <c r="D1602" t="s">
        <v>38</v>
      </c>
      <c r="E1602" t="s">
        <v>39</v>
      </c>
      <c r="F1602">
        <v>73793.42</v>
      </c>
    </row>
    <row r="1603" spans="1:6" x14ac:dyDescent="0.3">
      <c r="A1603">
        <v>2024</v>
      </c>
      <c r="B1603">
        <v>9</v>
      </c>
      <c r="C1603" t="s">
        <v>40</v>
      </c>
      <c r="D1603" t="s">
        <v>38</v>
      </c>
      <c r="E1603" t="s">
        <v>39</v>
      </c>
      <c r="F1603">
        <v>11998.46</v>
      </c>
    </row>
    <row r="1604" spans="1:6" x14ac:dyDescent="0.3">
      <c r="A1604">
        <v>2024</v>
      </c>
      <c r="B1604">
        <v>9</v>
      </c>
      <c r="C1604" t="s">
        <v>41</v>
      </c>
      <c r="D1604" t="s">
        <v>38</v>
      </c>
      <c r="E1604" t="s">
        <v>39</v>
      </c>
      <c r="F1604">
        <v>103492.96</v>
      </c>
    </row>
    <row r="1605" spans="1:6" x14ac:dyDescent="0.3">
      <c r="A1605">
        <v>2024</v>
      </c>
      <c r="B1605">
        <v>9</v>
      </c>
      <c r="C1605" t="s">
        <v>42</v>
      </c>
      <c r="D1605" t="s">
        <v>38</v>
      </c>
      <c r="E1605" t="s">
        <v>39</v>
      </c>
      <c r="F1605">
        <v>102814.27</v>
      </c>
    </row>
    <row r="1606" spans="1:6" x14ac:dyDescent="0.3">
      <c r="A1606">
        <v>2024</v>
      </c>
      <c r="B1606">
        <v>9</v>
      </c>
      <c r="C1606" t="s">
        <v>43</v>
      </c>
      <c r="D1606" t="s">
        <v>38</v>
      </c>
      <c r="E1606" t="s">
        <v>39</v>
      </c>
      <c r="F1606">
        <v>70102.289999999994</v>
      </c>
    </row>
    <row r="1607" spans="1:6" x14ac:dyDescent="0.3">
      <c r="A1607">
        <v>2024</v>
      </c>
      <c r="B1607">
        <v>9</v>
      </c>
      <c r="C1607" t="s">
        <v>44</v>
      </c>
      <c r="D1607" t="s">
        <v>38</v>
      </c>
      <c r="E1607" t="s">
        <v>39</v>
      </c>
      <c r="F1607">
        <v>19178.53</v>
      </c>
    </row>
    <row r="1608" spans="1:6" x14ac:dyDescent="0.3">
      <c r="A1608">
        <v>2024</v>
      </c>
      <c r="B1608">
        <v>9</v>
      </c>
      <c r="C1608" t="s">
        <v>45</v>
      </c>
      <c r="D1608" t="s">
        <v>38</v>
      </c>
      <c r="E1608" t="s">
        <v>39</v>
      </c>
      <c r="F1608">
        <v>63166.02</v>
      </c>
    </row>
    <row r="1609" spans="1:6" x14ac:dyDescent="0.3">
      <c r="A1609">
        <v>2024</v>
      </c>
      <c r="B1609">
        <v>9</v>
      </c>
      <c r="C1609" t="s">
        <v>37</v>
      </c>
      <c r="D1609" t="s">
        <v>38</v>
      </c>
      <c r="E1609" t="s">
        <v>46</v>
      </c>
      <c r="F1609">
        <v>33787.4</v>
      </c>
    </row>
    <row r="1610" spans="1:6" x14ac:dyDescent="0.3">
      <c r="A1610">
        <v>2024</v>
      </c>
      <c r="B1610">
        <v>9</v>
      </c>
      <c r="C1610" t="s">
        <v>40</v>
      </c>
      <c r="D1610" t="s">
        <v>38</v>
      </c>
      <c r="E1610" t="s">
        <v>46</v>
      </c>
      <c r="F1610">
        <v>36937.339999999997</v>
      </c>
    </row>
    <row r="1611" spans="1:6" x14ac:dyDescent="0.3">
      <c r="A1611">
        <v>2024</v>
      </c>
      <c r="B1611">
        <v>9</v>
      </c>
      <c r="C1611" t="s">
        <v>41</v>
      </c>
      <c r="D1611" t="s">
        <v>38</v>
      </c>
      <c r="E1611" t="s">
        <v>46</v>
      </c>
      <c r="F1611">
        <v>38289.65</v>
      </c>
    </row>
    <row r="1612" spans="1:6" x14ac:dyDescent="0.3">
      <c r="A1612">
        <v>2024</v>
      </c>
      <c r="B1612">
        <v>9</v>
      </c>
      <c r="C1612" t="s">
        <v>42</v>
      </c>
      <c r="D1612" t="s">
        <v>38</v>
      </c>
      <c r="E1612" t="s">
        <v>46</v>
      </c>
      <c r="F1612">
        <v>78556.899999999994</v>
      </c>
    </row>
    <row r="1613" spans="1:6" x14ac:dyDescent="0.3">
      <c r="A1613">
        <v>2024</v>
      </c>
      <c r="B1613">
        <v>9</v>
      </c>
      <c r="C1613" t="s">
        <v>43</v>
      </c>
      <c r="D1613" t="s">
        <v>38</v>
      </c>
      <c r="E1613" t="s">
        <v>46</v>
      </c>
      <c r="F1613">
        <v>90963.02</v>
      </c>
    </row>
    <row r="1614" spans="1:6" x14ac:dyDescent="0.3">
      <c r="A1614">
        <v>2024</v>
      </c>
      <c r="B1614">
        <v>9</v>
      </c>
      <c r="C1614" t="s">
        <v>44</v>
      </c>
      <c r="D1614" t="s">
        <v>38</v>
      </c>
      <c r="E1614" t="s">
        <v>46</v>
      </c>
      <c r="F1614">
        <v>22189.84</v>
      </c>
    </row>
    <row r="1615" spans="1:6" x14ac:dyDescent="0.3">
      <c r="A1615">
        <v>2024</v>
      </c>
      <c r="B1615">
        <v>9</v>
      </c>
      <c r="C1615" t="s">
        <v>45</v>
      </c>
      <c r="D1615" t="s">
        <v>38</v>
      </c>
      <c r="E1615" t="s">
        <v>46</v>
      </c>
      <c r="F1615">
        <v>113710.27</v>
      </c>
    </row>
    <row r="1616" spans="1:6" x14ac:dyDescent="0.3">
      <c r="A1616">
        <v>2024</v>
      </c>
      <c r="B1616">
        <v>9</v>
      </c>
      <c r="C1616" t="s">
        <v>37</v>
      </c>
      <c r="D1616" t="s">
        <v>38</v>
      </c>
      <c r="E1616" t="s">
        <v>47</v>
      </c>
      <c r="F1616">
        <v>10649.43</v>
      </c>
    </row>
    <row r="1617" spans="1:6" x14ac:dyDescent="0.3">
      <c r="A1617">
        <v>2024</v>
      </c>
      <c r="B1617">
        <v>9</v>
      </c>
      <c r="C1617" t="s">
        <v>40</v>
      </c>
      <c r="D1617" t="s">
        <v>38</v>
      </c>
      <c r="E1617" t="s">
        <v>47</v>
      </c>
      <c r="F1617">
        <v>30122.57</v>
      </c>
    </row>
    <row r="1618" spans="1:6" x14ac:dyDescent="0.3">
      <c r="A1618">
        <v>2024</v>
      </c>
      <c r="B1618">
        <v>9</v>
      </c>
      <c r="C1618" t="s">
        <v>41</v>
      </c>
      <c r="D1618" t="s">
        <v>38</v>
      </c>
      <c r="E1618" t="s">
        <v>47</v>
      </c>
      <c r="F1618">
        <v>93353.65</v>
      </c>
    </row>
    <row r="1619" spans="1:6" x14ac:dyDescent="0.3">
      <c r="A1619">
        <v>2024</v>
      </c>
      <c r="B1619">
        <v>9</v>
      </c>
      <c r="C1619" t="s">
        <v>42</v>
      </c>
      <c r="D1619" t="s">
        <v>38</v>
      </c>
      <c r="E1619" t="s">
        <v>47</v>
      </c>
      <c r="F1619">
        <v>116409.86</v>
      </c>
    </row>
    <row r="1620" spans="1:6" x14ac:dyDescent="0.3">
      <c r="A1620">
        <v>2024</v>
      </c>
      <c r="B1620">
        <v>9</v>
      </c>
      <c r="C1620" t="s">
        <v>43</v>
      </c>
      <c r="D1620" t="s">
        <v>38</v>
      </c>
      <c r="E1620" t="s">
        <v>47</v>
      </c>
      <c r="F1620">
        <v>29574.33</v>
      </c>
    </row>
    <row r="1621" spans="1:6" x14ac:dyDescent="0.3">
      <c r="A1621">
        <v>2024</v>
      </c>
      <c r="B1621">
        <v>9</v>
      </c>
      <c r="C1621" t="s">
        <v>44</v>
      </c>
      <c r="D1621" t="s">
        <v>38</v>
      </c>
      <c r="E1621" t="s">
        <v>47</v>
      </c>
      <c r="F1621">
        <v>12922.95</v>
      </c>
    </row>
    <row r="1622" spans="1:6" x14ac:dyDescent="0.3">
      <c r="A1622">
        <v>2024</v>
      </c>
      <c r="B1622">
        <v>9</v>
      </c>
      <c r="C1622" t="s">
        <v>45</v>
      </c>
      <c r="D1622" t="s">
        <v>38</v>
      </c>
      <c r="E1622" t="s">
        <v>47</v>
      </c>
      <c r="F1622">
        <v>77627.09</v>
      </c>
    </row>
    <row r="1623" spans="1:6" x14ac:dyDescent="0.3">
      <c r="A1623">
        <v>2024</v>
      </c>
      <c r="B1623">
        <v>9</v>
      </c>
      <c r="C1623" t="s">
        <v>37</v>
      </c>
      <c r="D1623" t="s">
        <v>48</v>
      </c>
      <c r="E1623" t="s">
        <v>49</v>
      </c>
      <c r="F1623">
        <v>30602.75</v>
      </c>
    </row>
    <row r="1624" spans="1:6" x14ac:dyDescent="0.3">
      <c r="A1624">
        <v>2024</v>
      </c>
      <c r="B1624">
        <v>9</v>
      </c>
      <c r="C1624" t="s">
        <v>40</v>
      </c>
      <c r="D1624" t="s">
        <v>48</v>
      </c>
      <c r="E1624" t="s">
        <v>49</v>
      </c>
      <c r="F1624">
        <v>115543.31</v>
      </c>
    </row>
    <row r="1625" spans="1:6" x14ac:dyDescent="0.3">
      <c r="A1625">
        <v>2024</v>
      </c>
      <c r="B1625">
        <v>9</v>
      </c>
      <c r="C1625" t="s">
        <v>41</v>
      </c>
      <c r="D1625" t="s">
        <v>48</v>
      </c>
      <c r="E1625" t="s">
        <v>49</v>
      </c>
      <c r="F1625">
        <v>24671.18</v>
      </c>
    </row>
    <row r="1626" spans="1:6" x14ac:dyDescent="0.3">
      <c r="A1626">
        <v>2024</v>
      </c>
      <c r="B1626">
        <v>9</v>
      </c>
      <c r="C1626" t="s">
        <v>42</v>
      </c>
      <c r="D1626" t="s">
        <v>48</v>
      </c>
      <c r="E1626" t="s">
        <v>49</v>
      </c>
      <c r="F1626">
        <v>76033.38</v>
      </c>
    </row>
    <row r="1627" spans="1:6" x14ac:dyDescent="0.3">
      <c r="A1627">
        <v>2024</v>
      </c>
      <c r="B1627">
        <v>9</v>
      </c>
      <c r="C1627" t="s">
        <v>43</v>
      </c>
      <c r="D1627" t="s">
        <v>48</v>
      </c>
      <c r="E1627" t="s">
        <v>49</v>
      </c>
      <c r="F1627">
        <v>107959.11</v>
      </c>
    </row>
    <row r="1628" spans="1:6" x14ac:dyDescent="0.3">
      <c r="A1628">
        <v>2024</v>
      </c>
      <c r="B1628">
        <v>9</v>
      </c>
      <c r="C1628" t="s">
        <v>44</v>
      </c>
      <c r="D1628" t="s">
        <v>48</v>
      </c>
      <c r="E1628" t="s">
        <v>49</v>
      </c>
      <c r="F1628">
        <v>11731.45</v>
      </c>
    </row>
    <row r="1629" spans="1:6" x14ac:dyDescent="0.3">
      <c r="A1629">
        <v>2024</v>
      </c>
      <c r="B1629">
        <v>9</v>
      </c>
      <c r="C1629" t="s">
        <v>45</v>
      </c>
      <c r="D1629" t="s">
        <v>48</v>
      </c>
      <c r="E1629" t="s">
        <v>49</v>
      </c>
      <c r="F1629">
        <v>28019.83</v>
      </c>
    </row>
    <row r="1630" spans="1:6" x14ac:dyDescent="0.3">
      <c r="A1630">
        <v>2024</v>
      </c>
      <c r="B1630">
        <v>9</v>
      </c>
      <c r="C1630" t="s">
        <v>37</v>
      </c>
      <c r="D1630" t="s">
        <v>48</v>
      </c>
      <c r="E1630" t="s">
        <v>50</v>
      </c>
      <c r="F1630">
        <v>80087.570000000007</v>
      </c>
    </row>
    <row r="1631" spans="1:6" x14ac:dyDescent="0.3">
      <c r="A1631">
        <v>2024</v>
      </c>
      <c r="B1631">
        <v>9</v>
      </c>
      <c r="C1631" t="s">
        <v>40</v>
      </c>
      <c r="D1631" t="s">
        <v>48</v>
      </c>
      <c r="E1631" t="s">
        <v>50</v>
      </c>
      <c r="F1631">
        <v>53873.83</v>
      </c>
    </row>
    <row r="1632" spans="1:6" x14ac:dyDescent="0.3">
      <c r="A1632">
        <v>2024</v>
      </c>
      <c r="B1632">
        <v>9</v>
      </c>
      <c r="C1632" t="s">
        <v>41</v>
      </c>
      <c r="D1632" t="s">
        <v>48</v>
      </c>
      <c r="E1632" t="s">
        <v>50</v>
      </c>
      <c r="F1632">
        <v>62905.55</v>
      </c>
    </row>
    <row r="1633" spans="1:6" x14ac:dyDescent="0.3">
      <c r="A1633">
        <v>2024</v>
      </c>
      <c r="B1633">
        <v>9</v>
      </c>
      <c r="C1633" t="s">
        <v>42</v>
      </c>
      <c r="D1633" t="s">
        <v>48</v>
      </c>
      <c r="E1633" t="s">
        <v>50</v>
      </c>
      <c r="F1633">
        <v>104715.23</v>
      </c>
    </row>
    <row r="1634" spans="1:6" x14ac:dyDescent="0.3">
      <c r="A1634">
        <v>2024</v>
      </c>
      <c r="B1634">
        <v>9</v>
      </c>
      <c r="C1634" t="s">
        <v>43</v>
      </c>
      <c r="D1634" t="s">
        <v>48</v>
      </c>
      <c r="E1634" t="s">
        <v>50</v>
      </c>
      <c r="F1634">
        <v>49704.06</v>
      </c>
    </row>
    <row r="1635" spans="1:6" x14ac:dyDescent="0.3">
      <c r="A1635">
        <v>2024</v>
      </c>
      <c r="B1635">
        <v>9</v>
      </c>
      <c r="C1635" t="s">
        <v>44</v>
      </c>
      <c r="D1635" t="s">
        <v>48</v>
      </c>
      <c r="E1635" t="s">
        <v>50</v>
      </c>
      <c r="F1635">
        <v>101227.01</v>
      </c>
    </row>
    <row r="1636" spans="1:6" x14ac:dyDescent="0.3">
      <c r="A1636">
        <v>2024</v>
      </c>
      <c r="B1636">
        <v>9</v>
      </c>
      <c r="C1636" t="s">
        <v>45</v>
      </c>
      <c r="D1636" t="s">
        <v>48</v>
      </c>
      <c r="E1636" t="s">
        <v>50</v>
      </c>
      <c r="F1636">
        <v>84107.99</v>
      </c>
    </row>
    <row r="1637" spans="1:6" x14ac:dyDescent="0.3">
      <c r="A1637">
        <v>2024</v>
      </c>
      <c r="B1637">
        <v>9</v>
      </c>
      <c r="C1637" t="s">
        <v>37</v>
      </c>
      <c r="D1637" t="s">
        <v>48</v>
      </c>
      <c r="E1637" t="s">
        <v>51</v>
      </c>
      <c r="F1637">
        <v>10535.78</v>
      </c>
    </row>
    <row r="1638" spans="1:6" x14ac:dyDescent="0.3">
      <c r="A1638">
        <v>2024</v>
      </c>
      <c r="B1638">
        <v>9</v>
      </c>
      <c r="C1638" t="s">
        <v>40</v>
      </c>
      <c r="D1638" t="s">
        <v>48</v>
      </c>
      <c r="E1638" t="s">
        <v>51</v>
      </c>
      <c r="F1638">
        <v>10627.35</v>
      </c>
    </row>
    <row r="1639" spans="1:6" x14ac:dyDescent="0.3">
      <c r="A1639">
        <v>2024</v>
      </c>
      <c r="B1639">
        <v>9</v>
      </c>
      <c r="C1639" t="s">
        <v>41</v>
      </c>
      <c r="D1639" t="s">
        <v>48</v>
      </c>
      <c r="E1639" t="s">
        <v>51</v>
      </c>
      <c r="F1639">
        <v>64209.43</v>
      </c>
    </row>
    <row r="1640" spans="1:6" x14ac:dyDescent="0.3">
      <c r="A1640">
        <v>2024</v>
      </c>
      <c r="B1640">
        <v>9</v>
      </c>
      <c r="C1640" t="s">
        <v>42</v>
      </c>
      <c r="D1640" t="s">
        <v>48</v>
      </c>
      <c r="E1640" t="s">
        <v>51</v>
      </c>
      <c r="F1640">
        <v>88473.600000000006</v>
      </c>
    </row>
    <row r="1641" spans="1:6" x14ac:dyDescent="0.3">
      <c r="A1641">
        <v>2024</v>
      </c>
      <c r="B1641">
        <v>9</v>
      </c>
      <c r="C1641" t="s">
        <v>43</v>
      </c>
      <c r="D1641" t="s">
        <v>48</v>
      </c>
      <c r="E1641" t="s">
        <v>51</v>
      </c>
      <c r="F1641">
        <v>34226.68</v>
      </c>
    </row>
    <row r="1642" spans="1:6" x14ac:dyDescent="0.3">
      <c r="A1642">
        <v>2024</v>
      </c>
      <c r="B1642">
        <v>9</v>
      </c>
      <c r="C1642" t="s">
        <v>44</v>
      </c>
      <c r="D1642" t="s">
        <v>48</v>
      </c>
      <c r="E1642" t="s">
        <v>51</v>
      </c>
      <c r="F1642">
        <v>10776.53</v>
      </c>
    </row>
    <row r="1643" spans="1:6" x14ac:dyDescent="0.3">
      <c r="A1643">
        <v>2024</v>
      </c>
      <c r="B1643">
        <v>9</v>
      </c>
      <c r="C1643" t="s">
        <v>45</v>
      </c>
      <c r="D1643" t="s">
        <v>48</v>
      </c>
      <c r="E1643" t="s">
        <v>51</v>
      </c>
      <c r="F1643">
        <v>40911.31</v>
      </c>
    </row>
    <row r="1644" spans="1:6" x14ac:dyDescent="0.3">
      <c r="A1644">
        <v>2024</v>
      </c>
      <c r="B1644">
        <v>9</v>
      </c>
      <c r="C1644" t="s">
        <v>37</v>
      </c>
      <c r="D1644" t="s">
        <v>48</v>
      </c>
      <c r="E1644" t="s">
        <v>52</v>
      </c>
      <c r="F1644">
        <v>30195.01</v>
      </c>
    </row>
    <row r="1645" spans="1:6" x14ac:dyDescent="0.3">
      <c r="A1645">
        <v>2024</v>
      </c>
      <c r="B1645">
        <v>9</v>
      </c>
      <c r="C1645" t="s">
        <v>40</v>
      </c>
      <c r="D1645" t="s">
        <v>48</v>
      </c>
      <c r="E1645" t="s">
        <v>52</v>
      </c>
      <c r="F1645">
        <v>92354.85</v>
      </c>
    </row>
    <row r="1646" spans="1:6" x14ac:dyDescent="0.3">
      <c r="A1646">
        <v>2024</v>
      </c>
      <c r="B1646">
        <v>9</v>
      </c>
      <c r="C1646" t="s">
        <v>41</v>
      </c>
      <c r="D1646" t="s">
        <v>48</v>
      </c>
      <c r="E1646" t="s">
        <v>52</v>
      </c>
      <c r="F1646">
        <v>78899.17</v>
      </c>
    </row>
    <row r="1647" spans="1:6" x14ac:dyDescent="0.3">
      <c r="A1647">
        <v>2024</v>
      </c>
      <c r="B1647">
        <v>9</v>
      </c>
      <c r="C1647" t="s">
        <v>42</v>
      </c>
      <c r="D1647" t="s">
        <v>48</v>
      </c>
      <c r="E1647" t="s">
        <v>52</v>
      </c>
      <c r="F1647">
        <v>22458.15</v>
      </c>
    </row>
    <row r="1648" spans="1:6" x14ac:dyDescent="0.3">
      <c r="A1648">
        <v>2024</v>
      </c>
      <c r="B1648">
        <v>9</v>
      </c>
      <c r="C1648" t="s">
        <v>43</v>
      </c>
      <c r="D1648" t="s">
        <v>48</v>
      </c>
      <c r="E1648" t="s">
        <v>52</v>
      </c>
      <c r="F1648">
        <v>41914.67</v>
      </c>
    </row>
    <row r="1649" spans="1:6" x14ac:dyDescent="0.3">
      <c r="A1649">
        <v>2024</v>
      </c>
      <c r="B1649">
        <v>9</v>
      </c>
      <c r="C1649" t="s">
        <v>44</v>
      </c>
      <c r="D1649" t="s">
        <v>48</v>
      </c>
      <c r="E1649" t="s">
        <v>52</v>
      </c>
      <c r="F1649">
        <v>106214.02</v>
      </c>
    </row>
    <row r="1650" spans="1:6" x14ac:dyDescent="0.3">
      <c r="A1650">
        <v>2024</v>
      </c>
      <c r="B1650">
        <v>9</v>
      </c>
      <c r="C1650" t="s">
        <v>45</v>
      </c>
      <c r="D1650" t="s">
        <v>48</v>
      </c>
      <c r="E1650" t="s">
        <v>52</v>
      </c>
      <c r="F1650">
        <v>45458.71</v>
      </c>
    </row>
    <row r="1651" spans="1:6" x14ac:dyDescent="0.3">
      <c r="A1651">
        <v>2024</v>
      </c>
      <c r="B1651">
        <v>9</v>
      </c>
      <c r="C1651" t="s">
        <v>37</v>
      </c>
      <c r="D1651" t="s">
        <v>48</v>
      </c>
      <c r="E1651" t="s">
        <v>53</v>
      </c>
      <c r="F1651">
        <v>36660.25</v>
      </c>
    </row>
    <row r="1652" spans="1:6" x14ac:dyDescent="0.3">
      <c r="A1652">
        <v>2024</v>
      </c>
      <c r="B1652">
        <v>9</v>
      </c>
      <c r="C1652" t="s">
        <v>40</v>
      </c>
      <c r="D1652" t="s">
        <v>48</v>
      </c>
      <c r="E1652" t="s">
        <v>53</v>
      </c>
      <c r="F1652">
        <v>60214.94</v>
      </c>
    </row>
    <row r="1653" spans="1:6" x14ac:dyDescent="0.3">
      <c r="A1653">
        <v>2024</v>
      </c>
      <c r="B1653">
        <v>9</v>
      </c>
      <c r="C1653" t="s">
        <v>41</v>
      </c>
      <c r="D1653" t="s">
        <v>48</v>
      </c>
      <c r="E1653" t="s">
        <v>53</v>
      </c>
      <c r="F1653">
        <v>105025.53</v>
      </c>
    </row>
    <row r="1654" spans="1:6" x14ac:dyDescent="0.3">
      <c r="A1654">
        <v>2024</v>
      </c>
      <c r="B1654">
        <v>9</v>
      </c>
      <c r="C1654" t="s">
        <v>42</v>
      </c>
      <c r="D1654" t="s">
        <v>48</v>
      </c>
      <c r="E1654" t="s">
        <v>53</v>
      </c>
      <c r="F1654">
        <v>90605.36</v>
      </c>
    </row>
    <row r="1655" spans="1:6" x14ac:dyDescent="0.3">
      <c r="A1655">
        <v>2024</v>
      </c>
      <c r="B1655">
        <v>9</v>
      </c>
      <c r="C1655" t="s">
        <v>43</v>
      </c>
      <c r="D1655" t="s">
        <v>48</v>
      </c>
      <c r="E1655" t="s">
        <v>53</v>
      </c>
      <c r="F1655">
        <v>88253.87</v>
      </c>
    </row>
    <row r="1656" spans="1:6" x14ac:dyDescent="0.3">
      <c r="A1656">
        <v>2024</v>
      </c>
      <c r="B1656">
        <v>9</v>
      </c>
      <c r="C1656" t="s">
        <v>44</v>
      </c>
      <c r="D1656" t="s">
        <v>48</v>
      </c>
      <c r="E1656" t="s">
        <v>53</v>
      </c>
      <c r="F1656">
        <v>118593.77</v>
      </c>
    </row>
    <row r="1657" spans="1:6" x14ac:dyDescent="0.3">
      <c r="A1657">
        <v>2024</v>
      </c>
      <c r="B1657">
        <v>9</v>
      </c>
      <c r="C1657" t="s">
        <v>45</v>
      </c>
      <c r="D1657" t="s">
        <v>48</v>
      </c>
      <c r="E1657" t="s">
        <v>53</v>
      </c>
      <c r="F1657">
        <v>104284.3</v>
      </c>
    </row>
    <row r="1658" spans="1:6" x14ac:dyDescent="0.3">
      <c r="A1658">
        <v>2024</v>
      </c>
      <c r="B1658">
        <v>9</v>
      </c>
      <c r="C1658" t="s">
        <v>37</v>
      </c>
      <c r="D1658" t="s">
        <v>48</v>
      </c>
      <c r="E1658" t="s">
        <v>54</v>
      </c>
      <c r="F1658">
        <v>84677.82</v>
      </c>
    </row>
    <row r="1659" spans="1:6" x14ac:dyDescent="0.3">
      <c r="A1659">
        <v>2024</v>
      </c>
      <c r="B1659">
        <v>9</v>
      </c>
      <c r="C1659" t="s">
        <v>40</v>
      </c>
      <c r="D1659" t="s">
        <v>48</v>
      </c>
      <c r="E1659" t="s">
        <v>54</v>
      </c>
      <c r="F1659">
        <v>85818.38</v>
      </c>
    </row>
    <row r="1660" spans="1:6" x14ac:dyDescent="0.3">
      <c r="A1660">
        <v>2024</v>
      </c>
      <c r="B1660">
        <v>9</v>
      </c>
      <c r="C1660" t="s">
        <v>41</v>
      </c>
      <c r="D1660" t="s">
        <v>48</v>
      </c>
      <c r="E1660" t="s">
        <v>54</v>
      </c>
      <c r="F1660">
        <v>18000.36</v>
      </c>
    </row>
    <row r="1661" spans="1:6" x14ac:dyDescent="0.3">
      <c r="A1661">
        <v>2024</v>
      </c>
      <c r="B1661">
        <v>9</v>
      </c>
      <c r="C1661" t="s">
        <v>42</v>
      </c>
      <c r="D1661" t="s">
        <v>48</v>
      </c>
      <c r="E1661" t="s">
        <v>54</v>
      </c>
      <c r="F1661">
        <v>89979.93</v>
      </c>
    </row>
    <row r="1662" spans="1:6" x14ac:dyDescent="0.3">
      <c r="A1662">
        <v>2024</v>
      </c>
      <c r="B1662">
        <v>9</v>
      </c>
      <c r="C1662" t="s">
        <v>43</v>
      </c>
      <c r="D1662" t="s">
        <v>48</v>
      </c>
      <c r="E1662" t="s">
        <v>54</v>
      </c>
      <c r="F1662">
        <v>14722.42</v>
      </c>
    </row>
    <row r="1663" spans="1:6" x14ac:dyDescent="0.3">
      <c r="A1663">
        <v>2024</v>
      </c>
      <c r="B1663">
        <v>9</v>
      </c>
      <c r="C1663" t="s">
        <v>44</v>
      </c>
      <c r="D1663" t="s">
        <v>48</v>
      </c>
      <c r="E1663" t="s">
        <v>54</v>
      </c>
      <c r="F1663">
        <v>91054.04</v>
      </c>
    </row>
    <row r="1664" spans="1:6" x14ac:dyDescent="0.3">
      <c r="A1664">
        <v>2024</v>
      </c>
      <c r="B1664">
        <v>9</v>
      </c>
      <c r="C1664" t="s">
        <v>45</v>
      </c>
      <c r="D1664" t="s">
        <v>48</v>
      </c>
      <c r="E1664" t="s">
        <v>54</v>
      </c>
      <c r="F1664">
        <v>31712.5</v>
      </c>
    </row>
    <row r="1665" spans="1:6" x14ac:dyDescent="0.3">
      <c r="A1665">
        <v>2024</v>
      </c>
      <c r="B1665">
        <v>9</v>
      </c>
      <c r="C1665" t="s">
        <v>37</v>
      </c>
      <c r="D1665" t="s">
        <v>48</v>
      </c>
      <c r="E1665" t="s">
        <v>55</v>
      </c>
      <c r="F1665">
        <v>18750.439999999999</v>
      </c>
    </row>
    <row r="1666" spans="1:6" x14ac:dyDescent="0.3">
      <c r="A1666">
        <v>2024</v>
      </c>
      <c r="B1666">
        <v>9</v>
      </c>
      <c r="C1666" t="s">
        <v>40</v>
      </c>
      <c r="D1666" t="s">
        <v>48</v>
      </c>
      <c r="E1666" t="s">
        <v>55</v>
      </c>
      <c r="F1666">
        <v>74001.75</v>
      </c>
    </row>
    <row r="1667" spans="1:6" x14ac:dyDescent="0.3">
      <c r="A1667">
        <v>2024</v>
      </c>
      <c r="B1667">
        <v>9</v>
      </c>
      <c r="C1667" t="s">
        <v>41</v>
      </c>
      <c r="D1667" t="s">
        <v>48</v>
      </c>
      <c r="E1667" t="s">
        <v>55</v>
      </c>
      <c r="F1667">
        <v>22679.58</v>
      </c>
    </row>
    <row r="1668" spans="1:6" x14ac:dyDescent="0.3">
      <c r="A1668">
        <v>2024</v>
      </c>
      <c r="B1668">
        <v>9</v>
      </c>
      <c r="C1668" t="s">
        <v>42</v>
      </c>
      <c r="D1668" t="s">
        <v>48</v>
      </c>
      <c r="E1668" t="s">
        <v>55</v>
      </c>
      <c r="F1668">
        <v>29659.33</v>
      </c>
    </row>
    <row r="1669" spans="1:6" x14ac:dyDescent="0.3">
      <c r="A1669">
        <v>2024</v>
      </c>
      <c r="B1669">
        <v>9</v>
      </c>
      <c r="C1669" t="s">
        <v>43</v>
      </c>
      <c r="D1669" t="s">
        <v>48</v>
      </c>
      <c r="E1669" t="s">
        <v>55</v>
      </c>
      <c r="F1669">
        <v>61405.47</v>
      </c>
    </row>
    <row r="1670" spans="1:6" x14ac:dyDescent="0.3">
      <c r="A1670">
        <v>2024</v>
      </c>
      <c r="B1670">
        <v>9</v>
      </c>
      <c r="C1670" t="s">
        <v>44</v>
      </c>
      <c r="D1670" t="s">
        <v>48</v>
      </c>
      <c r="E1670" t="s">
        <v>55</v>
      </c>
      <c r="F1670">
        <v>46640.2</v>
      </c>
    </row>
    <row r="1671" spans="1:6" x14ac:dyDescent="0.3">
      <c r="A1671">
        <v>2024</v>
      </c>
      <c r="B1671">
        <v>9</v>
      </c>
      <c r="C1671" t="s">
        <v>45</v>
      </c>
      <c r="D1671" t="s">
        <v>48</v>
      </c>
      <c r="E1671" t="s">
        <v>55</v>
      </c>
      <c r="F1671">
        <v>83121.77</v>
      </c>
    </row>
    <row r="1672" spans="1:6" x14ac:dyDescent="0.3">
      <c r="A1672">
        <v>2024</v>
      </c>
      <c r="B1672">
        <v>9</v>
      </c>
      <c r="C1672" t="s">
        <v>37</v>
      </c>
      <c r="D1672" t="s">
        <v>48</v>
      </c>
      <c r="E1672" t="s">
        <v>56</v>
      </c>
      <c r="F1672">
        <v>75428.47</v>
      </c>
    </row>
    <row r="1673" spans="1:6" x14ac:dyDescent="0.3">
      <c r="A1673">
        <v>2024</v>
      </c>
      <c r="B1673">
        <v>9</v>
      </c>
      <c r="C1673" t="s">
        <v>40</v>
      </c>
      <c r="D1673" t="s">
        <v>48</v>
      </c>
      <c r="E1673" t="s">
        <v>56</v>
      </c>
      <c r="F1673">
        <v>51383.99</v>
      </c>
    </row>
    <row r="1674" spans="1:6" x14ac:dyDescent="0.3">
      <c r="A1674">
        <v>2024</v>
      </c>
      <c r="B1674">
        <v>9</v>
      </c>
      <c r="C1674" t="s">
        <v>41</v>
      </c>
      <c r="D1674" t="s">
        <v>48</v>
      </c>
      <c r="E1674" t="s">
        <v>56</v>
      </c>
      <c r="F1674">
        <v>85894.54</v>
      </c>
    </row>
    <row r="1675" spans="1:6" x14ac:dyDescent="0.3">
      <c r="A1675">
        <v>2024</v>
      </c>
      <c r="B1675">
        <v>9</v>
      </c>
      <c r="C1675" t="s">
        <v>42</v>
      </c>
      <c r="D1675" t="s">
        <v>48</v>
      </c>
      <c r="E1675" t="s">
        <v>56</v>
      </c>
      <c r="F1675">
        <v>11388.07</v>
      </c>
    </row>
    <row r="1676" spans="1:6" x14ac:dyDescent="0.3">
      <c r="A1676">
        <v>2024</v>
      </c>
      <c r="B1676">
        <v>9</v>
      </c>
      <c r="C1676" t="s">
        <v>43</v>
      </c>
      <c r="D1676" t="s">
        <v>48</v>
      </c>
      <c r="E1676" t="s">
        <v>56</v>
      </c>
      <c r="F1676">
        <v>109589.23</v>
      </c>
    </row>
    <row r="1677" spans="1:6" x14ac:dyDescent="0.3">
      <c r="A1677">
        <v>2024</v>
      </c>
      <c r="B1677">
        <v>9</v>
      </c>
      <c r="C1677" t="s">
        <v>44</v>
      </c>
      <c r="D1677" t="s">
        <v>48</v>
      </c>
      <c r="E1677" t="s">
        <v>56</v>
      </c>
      <c r="F1677">
        <v>57554.13</v>
      </c>
    </row>
    <row r="1678" spans="1:6" x14ac:dyDescent="0.3">
      <c r="A1678">
        <v>2024</v>
      </c>
      <c r="B1678">
        <v>9</v>
      </c>
      <c r="C1678" t="s">
        <v>45</v>
      </c>
      <c r="D1678" t="s">
        <v>48</v>
      </c>
      <c r="E1678" t="s">
        <v>56</v>
      </c>
      <c r="F1678">
        <v>68037.95</v>
      </c>
    </row>
    <row r="1679" spans="1:6" x14ac:dyDescent="0.3">
      <c r="A1679">
        <v>2024</v>
      </c>
      <c r="B1679">
        <v>9</v>
      </c>
      <c r="C1679" t="s">
        <v>37</v>
      </c>
      <c r="D1679" t="s">
        <v>57</v>
      </c>
      <c r="E1679" t="s">
        <v>58</v>
      </c>
      <c r="F1679">
        <v>149068.91</v>
      </c>
    </row>
    <row r="1680" spans="1:6" x14ac:dyDescent="0.3">
      <c r="A1680">
        <v>2024</v>
      </c>
      <c r="B1680">
        <v>9</v>
      </c>
      <c r="C1680" t="s">
        <v>37</v>
      </c>
      <c r="D1680" t="s">
        <v>57</v>
      </c>
      <c r="E1680" t="s">
        <v>59</v>
      </c>
      <c r="F1680">
        <v>69545.539999999994</v>
      </c>
    </row>
    <row r="1681" spans="1:6" x14ac:dyDescent="0.3">
      <c r="A1681">
        <v>2024</v>
      </c>
      <c r="B1681">
        <v>9</v>
      </c>
      <c r="C1681" t="s">
        <v>37</v>
      </c>
      <c r="D1681" t="s">
        <v>57</v>
      </c>
      <c r="E1681" t="s">
        <v>60</v>
      </c>
      <c r="F1681">
        <v>124839.63</v>
      </c>
    </row>
    <row r="1682" spans="1:6" x14ac:dyDescent="0.3">
      <c r="A1682">
        <v>2024</v>
      </c>
      <c r="B1682">
        <v>10</v>
      </c>
      <c r="C1682" t="s">
        <v>37</v>
      </c>
      <c r="D1682" t="s">
        <v>38</v>
      </c>
      <c r="E1682" t="s">
        <v>39</v>
      </c>
      <c r="F1682">
        <v>71504.58</v>
      </c>
    </row>
    <row r="1683" spans="1:6" x14ac:dyDescent="0.3">
      <c r="A1683">
        <v>2024</v>
      </c>
      <c r="B1683">
        <v>10</v>
      </c>
      <c r="C1683" t="s">
        <v>40</v>
      </c>
      <c r="D1683" t="s">
        <v>38</v>
      </c>
      <c r="E1683" t="s">
        <v>39</v>
      </c>
      <c r="F1683">
        <v>85856.53</v>
      </c>
    </row>
    <row r="1684" spans="1:6" x14ac:dyDescent="0.3">
      <c r="A1684">
        <v>2024</v>
      </c>
      <c r="B1684">
        <v>10</v>
      </c>
      <c r="C1684" t="s">
        <v>41</v>
      </c>
      <c r="D1684" t="s">
        <v>38</v>
      </c>
      <c r="E1684" t="s">
        <v>39</v>
      </c>
      <c r="F1684">
        <v>114606</v>
      </c>
    </row>
    <row r="1685" spans="1:6" x14ac:dyDescent="0.3">
      <c r="A1685">
        <v>2024</v>
      </c>
      <c r="B1685">
        <v>10</v>
      </c>
      <c r="C1685" t="s">
        <v>42</v>
      </c>
      <c r="D1685" t="s">
        <v>38</v>
      </c>
      <c r="E1685" t="s">
        <v>39</v>
      </c>
      <c r="F1685">
        <v>69732.72</v>
      </c>
    </row>
    <row r="1686" spans="1:6" x14ac:dyDescent="0.3">
      <c r="A1686">
        <v>2024</v>
      </c>
      <c r="B1686">
        <v>10</v>
      </c>
      <c r="C1686" t="s">
        <v>43</v>
      </c>
      <c r="D1686" t="s">
        <v>38</v>
      </c>
      <c r="E1686" t="s">
        <v>39</v>
      </c>
      <c r="F1686">
        <v>63233.32</v>
      </c>
    </row>
    <row r="1687" spans="1:6" x14ac:dyDescent="0.3">
      <c r="A1687">
        <v>2024</v>
      </c>
      <c r="B1687">
        <v>10</v>
      </c>
      <c r="C1687" t="s">
        <v>44</v>
      </c>
      <c r="D1687" t="s">
        <v>38</v>
      </c>
      <c r="E1687" t="s">
        <v>39</v>
      </c>
      <c r="F1687">
        <v>30855.62</v>
      </c>
    </row>
    <row r="1688" spans="1:6" x14ac:dyDescent="0.3">
      <c r="A1688">
        <v>2024</v>
      </c>
      <c r="B1688">
        <v>10</v>
      </c>
      <c r="C1688" t="s">
        <v>45</v>
      </c>
      <c r="D1688" t="s">
        <v>38</v>
      </c>
      <c r="E1688" t="s">
        <v>39</v>
      </c>
      <c r="F1688">
        <v>27975</v>
      </c>
    </row>
    <row r="1689" spans="1:6" x14ac:dyDescent="0.3">
      <c r="A1689">
        <v>2024</v>
      </c>
      <c r="B1689">
        <v>10</v>
      </c>
      <c r="C1689" t="s">
        <v>37</v>
      </c>
      <c r="D1689" t="s">
        <v>38</v>
      </c>
      <c r="E1689" t="s">
        <v>46</v>
      </c>
      <c r="F1689">
        <v>119580.75</v>
      </c>
    </row>
    <row r="1690" spans="1:6" x14ac:dyDescent="0.3">
      <c r="A1690">
        <v>2024</v>
      </c>
      <c r="B1690">
        <v>10</v>
      </c>
      <c r="C1690" t="s">
        <v>40</v>
      </c>
      <c r="D1690" t="s">
        <v>38</v>
      </c>
      <c r="E1690" t="s">
        <v>46</v>
      </c>
      <c r="F1690">
        <v>24347.97</v>
      </c>
    </row>
    <row r="1691" spans="1:6" x14ac:dyDescent="0.3">
      <c r="A1691">
        <v>2024</v>
      </c>
      <c r="B1691">
        <v>10</v>
      </c>
      <c r="C1691" t="s">
        <v>41</v>
      </c>
      <c r="D1691" t="s">
        <v>38</v>
      </c>
      <c r="E1691" t="s">
        <v>46</v>
      </c>
      <c r="F1691">
        <v>89091.67</v>
      </c>
    </row>
    <row r="1692" spans="1:6" x14ac:dyDescent="0.3">
      <c r="A1692">
        <v>2024</v>
      </c>
      <c r="B1692">
        <v>10</v>
      </c>
      <c r="C1692" t="s">
        <v>42</v>
      </c>
      <c r="D1692" t="s">
        <v>38</v>
      </c>
      <c r="E1692" t="s">
        <v>46</v>
      </c>
      <c r="F1692">
        <v>37109.79</v>
      </c>
    </row>
    <row r="1693" spans="1:6" x14ac:dyDescent="0.3">
      <c r="A1693">
        <v>2024</v>
      </c>
      <c r="B1693">
        <v>10</v>
      </c>
      <c r="C1693" t="s">
        <v>43</v>
      </c>
      <c r="D1693" t="s">
        <v>38</v>
      </c>
      <c r="E1693" t="s">
        <v>46</v>
      </c>
      <c r="F1693">
        <v>96916.28</v>
      </c>
    </row>
    <row r="1694" spans="1:6" x14ac:dyDescent="0.3">
      <c r="A1694">
        <v>2024</v>
      </c>
      <c r="B1694">
        <v>10</v>
      </c>
      <c r="C1694" t="s">
        <v>44</v>
      </c>
      <c r="D1694" t="s">
        <v>38</v>
      </c>
      <c r="E1694" t="s">
        <v>46</v>
      </c>
      <c r="F1694">
        <v>77899.55</v>
      </c>
    </row>
    <row r="1695" spans="1:6" x14ac:dyDescent="0.3">
      <c r="A1695">
        <v>2024</v>
      </c>
      <c r="B1695">
        <v>10</v>
      </c>
      <c r="C1695" t="s">
        <v>45</v>
      </c>
      <c r="D1695" t="s">
        <v>38</v>
      </c>
      <c r="E1695" t="s">
        <v>46</v>
      </c>
      <c r="F1695">
        <v>13301.41</v>
      </c>
    </row>
    <row r="1696" spans="1:6" x14ac:dyDescent="0.3">
      <c r="A1696">
        <v>2024</v>
      </c>
      <c r="B1696">
        <v>10</v>
      </c>
      <c r="C1696" t="s">
        <v>37</v>
      </c>
      <c r="D1696" t="s">
        <v>38</v>
      </c>
      <c r="E1696" t="s">
        <v>47</v>
      </c>
      <c r="F1696">
        <v>64135.12</v>
      </c>
    </row>
    <row r="1697" spans="1:6" x14ac:dyDescent="0.3">
      <c r="A1697">
        <v>2024</v>
      </c>
      <c r="B1697">
        <v>10</v>
      </c>
      <c r="C1697" t="s">
        <v>40</v>
      </c>
      <c r="D1697" t="s">
        <v>38</v>
      </c>
      <c r="E1697" t="s">
        <v>47</v>
      </c>
      <c r="F1697">
        <v>72117.86</v>
      </c>
    </row>
    <row r="1698" spans="1:6" x14ac:dyDescent="0.3">
      <c r="A1698">
        <v>2024</v>
      </c>
      <c r="B1698">
        <v>10</v>
      </c>
      <c r="C1698" t="s">
        <v>41</v>
      </c>
      <c r="D1698" t="s">
        <v>38</v>
      </c>
      <c r="E1698" t="s">
        <v>47</v>
      </c>
      <c r="F1698">
        <v>88458.29</v>
      </c>
    </row>
    <row r="1699" spans="1:6" x14ac:dyDescent="0.3">
      <c r="A1699">
        <v>2024</v>
      </c>
      <c r="B1699">
        <v>10</v>
      </c>
      <c r="C1699" t="s">
        <v>42</v>
      </c>
      <c r="D1699" t="s">
        <v>38</v>
      </c>
      <c r="E1699" t="s">
        <v>47</v>
      </c>
      <c r="F1699">
        <v>12776.38</v>
      </c>
    </row>
    <row r="1700" spans="1:6" x14ac:dyDescent="0.3">
      <c r="A1700">
        <v>2024</v>
      </c>
      <c r="B1700">
        <v>10</v>
      </c>
      <c r="C1700" t="s">
        <v>43</v>
      </c>
      <c r="D1700" t="s">
        <v>38</v>
      </c>
      <c r="E1700" t="s">
        <v>47</v>
      </c>
      <c r="F1700">
        <v>53901.65</v>
      </c>
    </row>
    <row r="1701" spans="1:6" x14ac:dyDescent="0.3">
      <c r="A1701">
        <v>2024</v>
      </c>
      <c r="B1701">
        <v>10</v>
      </c>
      <c r="C1701" t="s">
        <v>44</v>
      </c>
      <c r="D1701" t="s">
        <v>38</v>
      </c>
      <c r="E1701" t="s">
        <v>47</v>
      </c>
      <c r="F1701">
        <v>82283.039999999994</v>
      </c>
    </row>
    <row r="1702" spans="1:6" x14ac:dyDescent="0.3">
      <c r="A1702">
        <v>2024</v>
      </c>
      <c r="B1702">
        <v>10</v>
      </c>
      <c r="C1702" t="s">
        <v>45</v>
      </c>
      <c r="D1702" t="s">
        <v>38</v>
      </c>
      <c r="E1702" t="s">
        <v>47</v>
      </c>
      <c r="F1702">
        <v>108092.41</v>
      </c>
    </row>
    <row r="1703" spans="1:6" x14ac:dyDescent="0.3">
      <c r="A1703">
        <v>2024</v>
      </c>
      <c r="B1703">
        <v>10</v>
      </c>
      <c r="C1703" t="s">
        <v>37</v>
      </c>
      <c r="D1703" t="s">
        <v>48</v>
      </c>
      <c r="E1703" t="s">
        <v>49</v>
      </c>
      <c r="F1703">
        <v>89759.27</v>
      </c>
    </row>
    <row r="1704" spans="1:6" x14ac:dyDescent="0.3">
      <c r="A1704">
        <v>2024</v>
      </c>
      <c r="B1704">
        <v>10</v>
      </c>
      <c r="C1704" t="s">
        <v>40</v>
      </c>
      <c r="D1704" t="s">
        <v>48</v>
      </c>
      <c r="E1704" t="s">
        <v>49</v>
      </c>
      <c r="F1704">
        <v>17275.759999999998</v>
      </c>
    </row>
    <row r="1705" spans="1:6" x14ac:dyDescent="0.3">
      <c r="A1705">
        <v>2024</v>
      </c>
      <c r="B1705">
        <v>10</v>
      </c>
      <c r="C1705" t="s">
        <v>41</v>
      </c>
      <c r="D1705" t="s">
        <v>48</v>
      </c>
      <c r="E1705" t="s">
        <v>49</v>
      </c>
      <c r="F1705">
        <v>59261.41</v>
      </c>
    </row>
    <row r="1706" spans="1:6" x14ac:dyDescent="0.3">
      <c r="A1706">
        <v>2024</v>
      </c>
      <c r="B1706">
        <v>10</v>
      </c>
      <c r="C1706" t="s">
        <v>42</v>
      </c>
      <c r="D1706" t="s">
        <v>48</v>
      </c>
      <c r="E1706" t="s">
        <v>49</v>
      </c>
      <c r="F1706">
        <v>47216.08</v>
      </c>
    </row>
    <row r="1707" spans="1:6" x14ac:dyDescent="0.3">
      <c r="A1707">
        <v>2024</v>
      </c>
      <c r="B1707">
        <v>10</v>
      </c>
      <c r="C1707" t="s">
        <v>43</v>
      </c>
      <c r="D1707" t="s">
        <v>48</v>
      </c>
      <c r="E1707" t="s">
        <v>49</v>
      </c>
      <c r="F1707">
        <v>106137.32</v>
      </c>
    </row>
    <row r="1708" spans="1:6" x14ac:dyDescent="0.3">
      <c r="A1708">
        <v>2024</v>
      </c>
      <c r="B1708">
        <v>10</v>
      </c>
      <c r="C1708" t="s">
        <v>44</v>
      </c>
      <c r="D1708" t="s">
        <v>48</v>
      </c>
      <c r="E1708" t="s">
        <v>49</v>
      </c>
      <c r="F1708">
        <v>89722.87</v>
      </c>
    </row>
    <row r="1709" spans="1:6" x14ac:dyDescent="0.3">
      <c r="A1709">
        <v>2024</v>
      </c>
      <c r="B1709">
        <v>10</v>
      </c>
      <c r="C1709" t="s">
        <v>45</v>
      </c>
      <c r="D1709" t="s">
        <v>48</v>
      </c>
      <c r="E1709" t="s">
        <v>49</v>
      </c>
      <c r="F1709">
        <v>53218.85</v>
      </c>
    </row>
    <row r="1710" spans="1:6" x14ac:dyDescent="0.3">
      <c r="A1710">
        <v>2024</v>
      </c>
      <c r="B1710">
        <v>10</v>
      </c>
      <c r="C1710" t="s">
        <v>37</v>
      </c>
      <c r="D1710" t="s">
        <v>48</v>
      </c>
      <c r="E1710" t="s">
        <v>50</v>
      </c>
      <c r="F1710">
        <v>101385.56</v>
      </c>
    </row>
    <row r="1711" spans="1:6" x14ac:dyDescent="0.3">
      <c r="A1711">
        <v>2024</v>
      </c>
      <c r="B1711">
        <v>10</v>
      </c>
      <c r="C1711" t="s">
        <v>40</v>
      </c>
      <c r="D1711" t="s">
        <v>48</v>
      </c>
      <c r="E1711" t="s">
        <v>50</v>
      </c>
      <c r="F1711">
        <v>100905.87</v>
      </c>
    </row>
    <row r="1712" spans="1:6" x14ac:dyDescent="0.3">
      <c r="A1712">
        <v>2024</v>
      </c>
      <c r="B1712">
        <v>10</v>
      </c>
      <c r="C1712" t="s">
        <v>41</v>
      </c>
      <c r="D1712" t="s">
        <v>48</v>
      </c>
      <c r="E1712" t="s">
        <v>50</v>
      </c>
      <c r="F1712">
        <v>48680.81</v>
      </c>
    </row>
    <row r="1713" spans="1:6" x14ac:dyDescent="0.3">
      <c r="A1713">
        <v>2024</v>
      </c>
      <c r="B1713">
        <v>10</v>
      </c>
      <c r="C1713" t="s">
        <v>42</v>
      </c>
      <c r="D1713" t="s">
        <v>48</v>
      </c>
      <c r="E1713" t="s">
        <v>50</v>
      </c>
      <c r="F1713">
        <v>110530.54</v>
      </c>
    </row>
    <row r="1714" spans="1:6" x14ac:dyDescent="0.3">
      <c r="A1714">
        <v>2024</v>
      </c>
      <c r="B1714">
        <v>10</v>
      </c>
      <c r="C1714" t="s">
        <v>43</v>
      </c>
      <c r="D1714" t="s">
        <v>48</v>
      </c>
      <c r="E1714" t="s">
        <v>50</v>
      </c>
      <c r="F1714">
        <v>108944.63</v>
      </c>
    </row>
    <row r="1715" spans="1:6" x14ac:dyDescent="0.3">
      <c r="A1715">
        <v>2024</v>
      </c>
      <c r="B1715">
        <v>10</v>
      </c>
      <c r="C1715" t="s">
        <v>44</v>
      </c>
      <c r="D1715" t="s">
        <v>48</v>
      </c>
      <c r="E1715" t="s">
        <v>50</v>
      </c>
      <c r="F1715">
        <v>68532.69</v>
      </c>
    </row>
    <row r="1716" spans="1:6" x14ac:dyDescent="0.3">
      <c r="A1716">
        <v>2024</v>
      </c>
      <c r="B1716">
        <v>10</v>
      </c>
      <c r="C1716" t="s">
        <v>45</v>
      </c>
      <c r="D1716" t="s">
        <v>48</v>
      </c>
      <c r="E1716" t="s">
        <v>50</v>
      </c>
      <c r="F1716">
        <v>83257.600000000006</v>
      </c>
    </row>
    <row r="1717" spans="1:6" x14ac:dyDescent="0.3">
      <c r="A1717">
        <v>2024</v>
      </c>
      <c r="B1717">
        <v>10</v>
      </c>
      <c r="C1717" t="s">
        <v>37</v>
      </c>
      <c r="D1717" t="s">
        <v>48</v>
      </c>
      <c r="E1717" t="s">
        <v>51</v>
      </c>
      <c r="F1717">
        <v>88967.48</v>
      </c>
    </row>
    <row r="1718" spans="1:6" x14ac:dyDescent="0.3">
      <c r="A1718">
        <v>2024</v>
      </c>
      <c r="B1718">
        <v>10</v>
      </c>
      <c r="C1718" t="s">
        <v>40</v>
      </c>
      <c r="D1718" t="s">
        <v>48</v>
      </c>
      <c r="E1718" t="s">
        <v>51</v>
      </c>
      <c r="F1718">
        <v>52168.69</v>
      </c>
    </row>
    <row r="1719" spans="1:6" x14ac:dyDescent="0.3">
      <c r="A1719">
        <v>2024</v>
      </c>
      <c r="B1719">
        <v>10</v>
      </c>
      <c r="C1719" t="s">
        <v>41</v>
      </c>
      <c r="D1719" t="s">
        <v>48</v>
      </c>
      <c r="E1719" t="s">
        <v>51</v>
      </c>
      <c r="F1719">
        <v>66123.66</v>
      </c>
    </row>
    <row r="1720" spans="1:6" x14ac:dyDescent="0.3">
      <c r="A1720">
        <v>2024</v>
      </c>
      <c r="B1720">
        <v>10</v>
      </c>
      <c r="C1720" t="s">
        <v>42</v>
      </c>
      <c r="D1720" t="s">
        <v>48</v>
      </c>
      <c r="E1720" t="s">
        <v>51</v>
      </c>
      <c r="F1720">
        <v>100304.07</v>
      </c>
    </row>
    <row r="1721" spans="1:6" x14ac:dyDescent="0.3">
      <c r="A1721">
        <v>2024</v>
      </c>
      <c r="B1721">
        <v>10</v>
      </c>
      <c r="C1721" t="s">
        <v>43</v>
      </c>
      <c r="D1721" t="s">
        <v>48</v>
      </c>
      <c r="E1721" t="s">
        <v>51</v>
      </c>
      <c r="F1721">
        <v>24183</v>
      </c>
    </row>
    <row r="1722" spans="1:6" x14ac:dyDescent="0.3">
      <c r="A1722">
        <v>2024</v>
      </c>
      <c r="B1722">
        <v>10</v>
      </c>
      <c r="C1722" t="s">
        <v>44</v>
      </c>
      <c r="D1722" t="s">
        <v>48</v>
      </c>
      <c r="E1722" t="s">
        <v>51</v>
      </c>
      <c r="F1722">
        <v>49683.7</v>
      </c>
    </row>
    <row r="1723" spans="1:6" x14ac:dyDescent="0.3">
      <c r="A1723">
        <v>2024</v>
      </c>
      <c r="B1723">
        <v>10</v>
      </c>
      <c r="C1723" t="s">
        <v>45</v>
      </c>
      <c r="D1723" t="s">
        <v>48</v>
      </c>
      <c r="E1723" t="s">
        <v>51</v>
      </c>
      <c r="F1723">
        <v>94236.98</v>
      </c>
    </row>
    <row r="1724" spans="1:6" x14ac:dyDescent="0.3">
      <c r="A1724">
        <v>2024</v>
      </c>
      <c r="B1724">
        <v>10</v>
      </c>
      <c r="C1724" t="s">
        <v>37</v>
      </c>
      <c r="D1724" t="s">
        <v>48</v>
      </c>
      <c r="E1724" t="s">
        <v>52</v>
      </c>
      <c r="F1724">
        <v>28369.77</v>
      </c>
    </row>
    <row r="1725" spans="1:6" x14ac:dyDescent="0.3">
      <c r="A1725">
        <v>2024</v>
      </c>
      <c r="B1725">
        <v>10</v>
      </c>
      <c r="C1725" t="s">
        <v>40</v>
      </c>
      <c r="D1725" t="s">
        <v>48</v>
      </c>
      <c r="E1725" t="s">
        <v>52</v>
      </c>
      <c r="F1725">
        <v>50026.44</v>
      </c>
    </row>
    <row r="1726" spans="1:6" x14ac:dyDescent="0.3">
      <c r="A1726">
        <v>2024</v>
      </c>
      <c r="B1726">
        <v>10</v>
      </c>
      <c r="C1726" t="s">
        <v>41</v>
      </c>
      <c r="D1726" t="s">
        <v>48</v>
      </c>
      <c r="E1726" t="s">
        <v>52</v>
      </c>
      <c r="F1726">
        <v>27988.04</v>
      </c>
    </row>
    <row r="1727" spans="1:6" x14ac:dyDescent="0.3">
      <c r="A1727">
        <v>2024</v>
      </c>
      <c r="B1727">
        <v>10</v>
      </c>
      <c r="C1727" t="s">
        <v>42</v>
      </c>
      <c r="D1727" t="s">
        <v>48</v>
      </c>
      <c r="E1727" t="s">
        <v>52</v>
      </c>
      <c r="F1727">
        <v>54232.88</v>
      </c>
    </row>
    <row r="1728" spans="1:6" x14ac:dyDescent="0.3">
      <c r="A1728">
        <v>2024</v>
      </c>
      <c r="B1728">
        <v>10</v>
      </c>
      <c r="C1728" t="s">
        <v>43</v>
      </c>
      <c r="D1728" t="s">
        <v>48</v>
      </c>
      <c r="E1728" t="s">
        <v>52</v>
      </c>
      <c r="F1728">
        <v>87436.55</v>
      </c>
    </row>
    <row r="1729" spans="1:6" x14ac:dyDescent="0.3">
      <c r="A1729">
        <v>2024</v>
      </c>
      <c r="B1729">
        <v>10</v>
      </c>
      <c r="C1729" t="s">
        <v>44</v>
      </c>
      <c r="D1729" t="s">
        <v>48</v>
      </c>
      <c r="E1729" t="s">
        <v>52</v>
      </c>
      <c r="F1729">
        <v>28853.7</v>
      </c>
    </row>
    <row r="1730" spans="1:6" x14ac:dyDescent="0.3">
      <c r="A1730">
        <v>2024</v>
      </c>
      <c r="B1730">
        <v>10</v>
      </c>
      <c r="C1730" t="s">
        <v>45</v>
      </c>
      <c r="D1730" t="s">
        <v>48</v>
      </c>
      <c r="E1730" t="s">
        <v>52</v>
      </c>
      <c r="F1730">
        <v>60040.38</v>
      </c>
    </row>
    <row r="1731" spans="1:6" x14ac:dyDescent="0.3">
      <c r="A1731">
        <v>2024</v>
      </c>
      <c r="B1731">
        <v>10</v>
      </c>
      <c r="C1731" t="s">
        <v>37</v>
      </c>
      <c r="D1731" t="s">
        <v>48</v>
      </c>
      <c r="E1731" t="s">
        <v>53</v>
      </c>
      <c r="F1731">
        <v>53197.37</v>
      </c>
    </row>
    <row r="1732" spans="1:6" x14ac:dyDescent="0.3">
      <c r="A1732">
        <v>2024</v>
      </c>
      <c r="B1732">
        <v>10</v>
      </c>
      <c r="C1732" t="s">
        <v>40</v>
      </c>
      <c r="D1732" t="s">
        <v>48</v>
      </c>
      <c r="E1732" t="s">
        <v>53</v>
      </c>
      <c r="F1732">
        <v>19899</v>
      </c>
    </row>
    <row r="1733" spans="1:6" x14ac:dyDescent="0.3">
      <c r="A1733">
        <v>2024</v>
      </c>
      <c r="B1733">
        <v>10</v>
      </c>
      <c r="C1733" t="s">
        <v>41</v>
      </c>
      <c r="D1733" t="s">
        <v>48</v>
      </c>
      <c r="E1733" t="s">
        <v>53</v>
      </c>
      <c r="F1733">
        <v>83512.27</v>
      </c>
    </row>
    <row r="1734" spans="1:6" x14ac:dyDescent="0.3">
      <c r="A1734">
        <v>2024</v>
      </c>
      <c r="B1734">
        <v>10</v>
      </c>
      <c r="C1734" t="s">
        <v>42</v>
      </c>
      <c r="D1734" t="s">
        <v>48</v>
      </c>
      <c r="E1734" t="s">
        <v>53</v>
      </c>
      <c r="F1734">
        <v>67333.72</v>
      </c>
    </row>
    <row r="1735" spans="1:6" x14ac:dyDescent="0.3">
      <c r="A1735">
        <v>2024</v>
      </c>
      <c r="B1735">
        <v>10</v>
      </c>
      <c r="C1735" t="s">
        <v>43</v>
      </c>
      <c r="D1735" t="s">
        <v>48</v>
      </c>
      <c r="E1735" t="s">
        <v>53</v>
      </c>
      <c r="F1735">
        <v>43706.6</v>
      </c>
    </row>
    <row r="1736" spans="1:6" x14ac:dyDescent="0.3">
      <c r="A1736">
        <v>2024</v>
      </c>
      <c r="B1736">
        <v>10</v>
      </c>
      <c r="C1736" t="s">
        <v>44</v>
      </c>
      <c r="D1736" t="s">
        <v>48</v>
      </c>
      <c r="E1736" t="s">
        <v>53</v>
      </c>
      <c r="F1736">
        <v>74686.17</v>
      </c>
    </row>
    <row r="1737" spans="1:6" x14ac:dyDescent="0.3">
      <c r="A1737">
        <v>2024</v>
      </c>
      <c r="B1737">
        <v>10</v>
      </c>
      <c r="C1737" t="s">
        <v>45</v>
      </c>
      <c r="D1737" t="s">
        <v>48</v>
      </c>
      <c r="E1737" t="s">
        <v>53</v>
      </c>
      <c r="F1737">
        <v>36694.629999999997</v>
      </c>
    </row>
    <row r="1738" spans="1:6" x14ac:dyDescent="0.3">
      <c r="A1738">
        <v>2024</v>
      </c>
      <c r="B1738">
        <v>10</v>
      </c>
      <c r="C1738" t="s">
        <v>37</v>
      </c>
      <c r="D1738" t="s">
        <v>48</v>
      </c>
      <c r="E1738" t="s">
        <v>54</v>
      </c>
      <c r="F1738">
        <v>66093.06</v>
      </c>
    </row>
    <row r="1739" spans="1:6" x14ac:dyDescent="0.3">
      <c r="A1739">
        <v>2024</v>
      </c>
      <c r="B1739">
        <v>10</v>
      </c>
      <c r="C1739" t="s">
        <v>40</v>
      </c>
      <c r="D1739" t="s">
        <v>48</v>
      </c>
      <c r="E1739" t="s">
        <v>54</v>
      </c>
      <c r="F1739">
        <v>56989.54</v>
      </c>
    </row>
    <row r="1740" spans="1:6" x14ac:dyDescent="0.3">
      <c r="A1740">
        <v>2024</v>
      </c>
      <c r="B1740">
        <v>10</v>
      </c>
      <c r="C1740" t="s">
        <v>41</v>
      </c>
      <c r="D1740" t="s">
        <v>48</v>
      </c>
      <c r="E1740" t="s">
        <v>54</v>
      </c>
      <c r="F1740">
        <v>58392.66</v>
      </c>
    </row>
    <row r="1741" spans="1:6" x14ac:dyDescent="0.3">
      <c r="A1741">
        <v>2024</v>
      </c>
      <c r="B1741">
        <v>10</v>
      </c>
      <c r="C1741" t="s">
        <v>42</v>
      </c>
      <c r="D1741" t="s">
        <v>48</v>
      </c>
      <c r="E1741" t="s">
        <v>54</v>
      </c>
      <c r="F1741">
        <v>92837</v>
      </c>
    </row>
    <row r="1742" spans="1:6" x14ac:dyDescent="0.3">
      <c r="A1742">
        <v>2024</v>
      </c>
      <c r="B1742">
        <v>10</v>
      </c>
      <c r="C1742" t="s">
        <v>43</v>
      </c>
      <c r="D1742" t="s">
        <v>48</v>
      </c>
      <c r="E1742" t="s">
        <v>54</v>
      </c>
      <c r="F1742">
        <v>61337.14</v>
      </c>
    </row>
    <row r="1743" spans="1:6" x14ac:dyDescent="0.3">
      <c r="A1743">
        <v>2024</v>
      </c>
      <c r="B1743">
        <v>10</v>
      </c>
      <c r="C1743" t="s">
        <v>44</v>
      </c>
      <c r="D1743" t="s">
        <v>48</v>
      </c>
      <c r="E1743" t="s">
        <v>54</v>
      </c>
      <c r="F1743">
        <v>71119.17</v>
      </c>
    </row>
    <row r="1744" spans="1:6" x14ac:dyDescent="0.3">
      <c r="A1744">
        <v>2024</v>
      </c>
      <c r="B1744">
        <v>10</v>
      </c>
      <c r="C1744" t="s">
        <v>45</v>
      </c>
      <c r="D1744" t="s">
        <v>48</v>
      </c>
      <c r="E1744" t="s">
        <v>54</v>
      </c>
      <c r="F1744">
        <v>76706.94</v>
      </c>
    </row>
    <row r="1745" spans="1:6" x14ac:dyDescent="0.3">
      <c r="A1745">
        <v>2024</v>
      </c>
      <c r="B1745">
        <v>10</v>
      </c>
      <c r="C1745" t="s">
        <v>37</v>
      </c>
      <c r="D1745" t="s">
        <v>48</v>
      </c>
      <c r="E1745" t="s">
        <v>55</v>
      </c>
      <c r="F1745">
        <v>64730.57</v>
      </c>
    </row>
    <row r="1746" spans="1:6" x14ac:dyDescent="0.3">
      <c r="A1746">
        <v>2024</v>
      </c>
      <c r="B1746">
        <v>10</v>
      </c>
      <c r="C1746" t="s">
        <v>40</v>
      </c>
      <c r="D1746" t="s">
        <v>48</v>
      </c>
      <c r="E1746" t="s">
        <v>55</v>
      </c>
      <c r="F1746">
        <v>107437.44</v>
      </c>
    </row>
    <row r="1747" spans="1:6" x14ac:dyDescent="0.3">
      <c r="A1747">
        <v>2024</v>
      </c>
      <c r="B1747">
        <v>10</v>
      </c>
      <c r="C1747" t="s">
        <v>41</v>
      </c>
      <c r="D1747" t="s">
        <v>48</v>
      </c>
      <c r="E1747" t="s">
        <v>55</v>
      </c>
      <c r="F1747">
        <v>31476.69</v>
      </c>
    </row>
    <row r="1748" spans="1:6" x14ac:dyDescent="0.3">
      <c r="A1748">
        <v>2024</v>
      </c>
      <c r="B1748">
        <v>10</v>
      </c>
      <c r="C1748" t="s">
        <v>42</v>
      </c>
      <c r="D1748" t="s">
        <v>48</v>
      </c>
      <c r="E1748" t="s">
        <v>55</v>
      </c>
      <c r="F1748">
        <v>54756.18</v>
      </c>
    </row>
    <row r="1749" spans="1:6" x14ac:dyDescent="0.3">
      <c r="A1749">
        <v>2024</v>
      </c>
      <c r="B1749">
        <v>10</v>
      </c>
      <c r="C1749" t="s">
        <v>43</v>
      </c>
      <c r="D1749" t="s">
        <v>48</v>
      </c>
      <c r="E1749" t="s">
        <v>55</v>
      </c>
      <c r="F1749">
        <v>32619.93</v>
      </c>
    </row>
    <row r="1750" spans="1:6" x14ac:dyDescent="0.3">
      <c r="A1750">
        <v>2024</v>
      </c>
      <c r="B1750">
        <v>10</v>
      </c>
      <c r="C1750" t="s">
        <v>44</v>
      </c>
      <c r="D1750" t="s">
        <v>48</v>
      </c>
      <c r="E1750" t="s">
        <v>55</v>
      </c>
      <c r="F1750">
        <v>29211.68</v>
      </c>
    </row>
    <row r="1751" spans="1:6" x14ac:dyDescent="0.3">
      <c r="A1751">
        <v>2024</v>
      </c>
      <c r="B1751">
        <v>10</v>
      </c>
      <c r="C1751" t="s">
        <v>45</v>
      </c>
      <c r="D1751" t="s">
        <v>48</v>
      </c>
      <c r="E1751" t="s">
        <v>55</v>
      </c>
      <c r="F1751">
        <v>41459.74</v>
      </c>
    </row>
    <row r="1752" spans="1:6" x14ac:dyDescent="0.3">
      <c r="A1752">
        <v>2024</v>
      </c>
      <c r="B1752">
        <v>10</v>
      </c>
      <c r="C1752" t="s">
        <v>37</v>
      </c>
      <c r="D1752" t="s">
        <v>48</v>
      </c>
      <c r="E1752" t="s">
        <v>56</v>
      </c>
      <c r="F1752">
        <v>118009.1</v>
      </c>
    </row>
    <row r="1753" spans="1:6" x14ac:dyDescent="0.3">
      <c r="A1753">
        <v>2024</v>
      </c>
      <c r="B1753">
        <v>10</v>
      </c>
      <c r="C1753" t="s">
        <v>40</v>
      </c>
      <c r="D1753" t="s">
        <v>48</v>
      </c>
      <c r="E1753" t="s">
        <v>56</v>
      </c>
      <c r="F1753">
        <v>14560.32</v>
      </c>
    </row>
    <row r="1754" spans="1:6" x14ac:dyDescent="0.3">
      <c r="A1754">
        <v>2024</v>
      </c>
      <c r="B1754">
        <v>10</v>
      </c>
      <c r="C1754" t="s">
        <v>41</v>
      </c>
      <c r="D1754" t="s">
        <v>48</v>
      </c>
      <c r="E1754" t="s">
        <v>56</v>
      </c>
      <c r="F1754">
        <v>97248.4</v>
      </c>
    </row>
    <row r="1755" spans="1:6" x14ac:dyDescent="0.3">
      <c r="A1755">
        <v>2024</v>
      </c>
      <c r="B1755">
        <v>10</v>
      </c>
      <c r="C1755" t="s">
        <v>42</v>
      </c>
      <c r="D1755" t="s">
        <v>48</v>
      </c>
      <c r="E1755" t="s">
        <v>56</v>
      </c>
      <c r="F1755">
        <v>109233.11</v>
      </c>
    </row>
    <row r="1756" spans="1:6" x14ac:dyDescent="0.3">
      <c r="A1756">
        <v>2024</v>
      </c>
      <c r="B1756">
        <v>10</v>
      </c>
      <c r="C1756" t="s">
        <v>43</v>
      </c>
      <c r="D1756" t="s">
        <v>48</v>
      </c>
      <c r="E1756" t="s">
        <v>56</v>
      </c>
      <c r="F1756">
        <v>35300.33</v>
      </c>
    </row>
    <row r="1757" spans="1:6" x14ac:dyDescent="0.3">
      <c r="A1757">
        <v>2024</v>
      </c>
      <c r="B1757">
        <v>10</v>
      </c>
      <c r="C1757" t="s">
        <v>44</v>
      </c>
      <c r="D1757" t="s">
        <v>48</v>
      </c>
      <c r="E1757" t="s">
        <v>56</v>
      </c>
      <c r="F1757">
        <v>114457.09</v>
      </c>
    </row>
    <row r="1758" spans="1:6" x14ac:dyDescent="0.3">
      <c r="A1758">
        <v>2024</v>
      </c>
      <c r="B1758">
        <v>10</v>
      </c>
      <c r="C1758" t="s">
        <v>45</v>
      </c>
      <c r="D1758" t="s">
        <v>48</v>
      </c>
      <c r="E1758" t="s">
        <v>56</v>
      </c>
      <c r="F1758">
        <v>35577.050000000003</v>
      </c>
    </row>
    <row r="1759" spans="1:6" x14ac:dyDescent="0.3">
      <c r="A1759">
        <v>2024</v>
      </c>
      <c r="B1759">
        <v>10</v>
      </c>
      <c r="C1759" t="s">
        <v>37</v>
      </c>
      <c r="D1759" t="s">
        <v>57</v>
      </c>
      <c r="E1759" t="s">
        <v>58</v>
      </c>
      <c r="F1759">
        <v>156820.45000000001</v>
      </c>
    </row>
    <row r="1760" spans="1:6" x14ac:dyDescent="0.3">
      <c r="A1760">
        <v>2024</v>
      </c>
      <c r="B1760">
        <v>10</v>
      </c>
      <c r="C1760" t="s">
        <v>37</v>
      </c>
      <c r="D1760" t="s">
        <v>57</v>
      </c>
      <c r="E1760" t="s">
        <v>59</v>
      </c>
      <c r="F1760">
        <v>49751.33</v>
      </c>
    </row>
    <row r="1761" spans="1:6" x14ac:dyDescent="0.3">
      <c r="A1761">
        <v>2024</v>
      </c>
      <c r="B1761">
        <v>10</v>
      </c>
      <c r="C1761" t="s">
        <v>37</v>
      </c>
      <c r="D1761" t="s">
        <v>57</v>
      </c>
      <c r="E1761" t="s">
        <v>60</v>
      </c>
      <c r="F1761">
        <v>52490.85</v>
      </c>
    </row>
    <row r="1762" spans="1:6" x14ac:dyDescent="0.3">
      <c r="A1762">
        <v>2024</v>
      </c>
      <c r="B1762">
        <v>11</v>
      </c>
      <c r="C1762" t="s">
        <v>37</v>
      </c>
      <c r="D1762" t="s">
        <v>38</v>
      </c>
      <c r="E1762" t="s">
        <v>39</v>
      </c>
      <c r="F1762">
        <v>62065.33</v>
      </c>
    </row>
    <row r="1763" spans="1:6" x14ac:dyDescent="0.3">
      <c r="A1763">
        <v>2024</v>
      </c>
      <c r="B1763">
        <v>11</v>
      </c>
      <c r="C1763" t="s">
        <v>40</v>
      </c>
      <c r="D1763" t="s">
        <v>38</v>
      </c>
      <c r="E1763" t="s">
        <v>39</v>
      </c>
      <c r="F1763">
        <v>106103.33</v>
      </c>
    </row>
    <row r="1764" spans="1:6" x14ac:dyDescent="0.3">
      <c r="A1764">
        <v>2024</v>
      </c>
      <c r="B1764">
        <v>11</v>
      </c>
      <c r="C1764" t="s">
        <v>41</v>
      </c>
      <c r="D1764" t="s">
        <v>38</v>
      </c>
      <c r="E1764" t="s">
        <v>39</v>
      </c>
      <c r="F1764">
        <v>73345</v>
      </c>
    </row>
    <row r="1765" spans="1:6" x14ac:dyDescent="0.3">
      <c r="A1765">
        <v>2024</v>
      </c>
      <c r="B1765">
        <v>11</v>
      </c>
      <c r="C1765" t="s">
        <v>42</v>
      </c>
      <c r="D1765" t="s">
        <v>38</v>
      </c>
      <c r="E1765" t="s">
        <v>39</v>
      </c>
      <c r="F1765">
        <v>37684.29</v>
      </c>
    </row>
    <row r="1766" spans="1:6" x14ac:dyDescent="0.3">
      <c r="A1766">
        <v>2024</v>
      </c>
      <c r="B1766">
        <v>11</v>
      </c>
      <c r="C1766" t="s">
        <v>43</v>
      </c>
      <c r="D1766" t="s">
        <v>38</v>
      </c>
      <c r="E1766" t="s">
        <v>39</v>
      </c>
      <c r="F1766">
        <v>81600.570000000007</v>
      </c>
    </row>
    <row r="1767" spans="1:6" x14ac:dyDescent="0.3">
      <c r="A1767">
        <v>2024</v>
      </c>
      <c r="B1767">
        <v>11</v>
      </c>
      <c r="C1767" t="s">
        <v>44</v>
      </c>
      <c r="D1767" t="s">
        <v>38</v>
      </c>
      <c r="E1767" t="s">
        <v>39</v>
      </c>
      <c r="F1767">
        <v>80394.75</v>
      </c>
    </row>
    <row r="1768" spans="1:6" x14ac:dyDescent="0.3">
      <c r="A1768">
        <v>2024</v>
      </c>
      <c r="B1768">
        <v>11</v>
      </c>
      <c r="C1768" t="s">
        <v>45</v>
      </c>
      <c r="D1768" t="s">
        <v>38</v>
      </c>
      <c r="E1768" t="s">
        <v>39</v>
      </c>
      <c r="F1768">
        <v>26173.87</v>
      </c>
    </row>
    <row r="1769" spans="1:6" x14ac:dyDescent="0.3">
      <c r="A1769">
        <v>2024</v>
      </c>
      <c r="B1769">
        <v>11</v>
      </c>
      <c r="C1769" t="s">
        <v>37</v>
      </c>
      <c r="D1769" t="s">
        <v>38</v>
      </c>
      <c r="E1769" t="s">
        <v>46</v>
      </c>
      <c r="F1769">
        <v>117868.7</v>
      </c>
    </row>
    <row r="1770" spans="1:6" x14ac:dyDescent="0.3">
      <c r="A1770">
        <v>2024</v>
      </c>
      <c r="B1770">
        <v>11</v>
      </c>
      <c r="C1770" t="s">
        <v>40</v>
      </c>
      <c r="D1770" t="s">
        <v>38</v>
      </c>
      <c r="E1770" t="s">
        <v>46</v>
      </c>
      <c r="F1770">
        <v>28846</v>
      </c>
    </row>
    <row r="1771" spans="1:6" x14ac:dyDescent="0.3">
      <c r="A1771">
        <v>2024</v>
      </c>
      <c r="B1771">
        <v>11</v>
      </c>
      <c r="C1771" t="s">
        <v>41</v>
      </c>
      <c r="D1771" t="s">
        <v>38</v>
      </c>
      <c r="E1771" t="s">
        <v>46</v>
      </c>
      <c r="F1771">
        <v>72439.199999999997</v>
      </c>
    </row>
    <row r="1772" spans="1:6" x14ac:dyDescent="0.3">
      <c r="A1772">
        <v>2024</v>
      </c>
      <c r="B1772">
        <v>11</v>
      </c>
      <c r="C1772" t="s">
        <v>42</v>
      </c>
      <c r="D1772" t="s">
        <v>38</v>
      </c>
      <c r="E1772" t="s">
        <v>46</v>
      </c>
      <c r="F1772">
        <v>29583.68</v>
      </c>
    </row>
    <row r="1773" spans="1:6" x14ac:dyDescent="0.3">
      <c r="A1773">
        <v>2024</v>
      </c>
      <c r="B1773">
        <v>11</v>
      </c>
      <c r="C1773" t="s">
        <v>43</v>
      </c>
      <c r="D1773" t="s">
        <v>38</v>
      </c>
      <c r="E1773" t="s">
        <v>46</v>
      </c>
      <c r="F1773">
        <v>34226.54</v>
      </c>
    </row>
    <row r="1774" spans="1:6" x14ac:dyDescent="0.3">
      <c r="A1774">
        <v>2024</v>
      </c>
      <c r="B1774">
        <v>11</v>
      </c>
      <c r="C1774" t="s">
        <v>44</v>
      </c>
      <c r="D1774" t="s">
        <v>38</v>
      </c>
      <c r="E1774" t="s">
        <v>46</v>
      </c>
      <c r="F1774">
        <v>52232.05</v>
      </c>
    </row>
    <row r="1775" spans="1:6" x14ac:dyDescent="0.3">
      <c r="A1775">
        <v>2024</v>
      </c>
      <c r="B1775">
        <v>11</v>
      </c>
      <c r="C1775" t="s">
        <v>45</v>
      </c>
      <c r="D1775" t="s">
        <v>38</v>
      </c>
      <c r="E1775" t="s">
        <v>46</v>
      </c>
      <c r="F1775">
        <v>17024.77</v>
      </c>
    </row>
    <row r="1776" spans="1:6" x14ac:dyDescent="0.3">
      <c r="A1776">
        <v>2024</v>
      </c>
      <c r="B1776">
        <v>11</v>
      </c>
      <c r="C1776" t="s">
        <v>37</v>
      </c>
      <c r="D1776" t="s">
        <v>38</v>
      </c>
      <c r="E1776" t="s">
        <v>47</v>
      </c>
      <c r="F1776">
        <v>28262.38</v>
      </c>
    </row>
    <row r="1777" spans="1:6" x14ac:dyDescent="0.3">
      <c r="A1777">
        <v>2024</v>
      </c>
      <c r="B1777">
        <v>11</v>
      </c>
      <c r="C1777" t="s">
        <v>40</v>
      </c>
      <c r="D1777" t="s">
        <v>38</v>
      </c>
      <c r="E1777" t="s">
        <v>47</v>
      </c>
      <c r="F1777">
        <v>118344.41</v>
      </c>
    </row>
    <row r="1778" spans="1:6" x14ac:dyDescent="0.3">
      <c r="A1778">
        <v>2024</v>
      </c>
      <c r="B1778">
        <v>11</v>
      </c>
      <c r="C1778" t="s">
        <v>41</v>
      </c>
      <c r="D1778" t="s">
        <v>38</v>
      </c>
      <c r="E1778" t="s">
        <v>47</v>
      </c>
      <c r="F1778">
        <v>61390.75</v>
      </c>
    </row>
    <row r="1779" spans="1:6" x14ac:dyDescent="0.3">
      <c r="A1779">
        <v>2024</v>
      </c>
      <c r="B1779">
        <v>11</v>
      </c>
      <c r="C1779" t="s">
        <v>42</v>
      </c>
      <c r="D1779" t="s">
        <v>38</v>
      </c>
      <c r="E1779" t="s">
        <v>47</v>
      </c>
      <c r="F1779">
        <v>80584.95</v>
      </c>
    </row>
    <row r="1780" spans="1:6" x14ac:dyDescent="0.3">
      <c r="A1780">
        <v>2024</v>
      </c>
      <c r="B1780">
        <v>11</v>
      </c>
      <c r="C1780" t="s">
        <v>43</v>
      </c>
      <c r="D1780" t="s">
        <v>38</v>
      </c>
      <c r="E1780" t="s">
        <v>47</v>
      </c>
      <c r="F1780">
        <v>38719.96</v>
      </c>
    </row>
    <row r="1781" spans="1:6" x14ac:dyDescent="0.3">
      <c r="A1781">
        <v>2024</v>
      </c>
      <c r="B1781">
        <v>11</v>
      </c>
      <c r="C1781" t="s">
        <v>44</v>
      </c>
      <c r="D1781" t="s">
        <v>38</v>
      </c>
      <c r="E1781" t="s">
        <v>47</v>
      </c>
      <c r="F1781">
        <v>36247.32</v>
      </c>
    </row>
    <row r="1782" spans="1:6" x14ac:dyDescent="0.3">
      <c r="A1782">
        <v>2024</v>
      </c>
      <c r="B1782">
        <v>11</v>
      </c>
      <c r="C1782" t="s">
        <v>45</v>
      </c>
      <c r="D1782" t="s">
        <v>38</v>
      </c>
      <c r="E1782" t="s">
        <v>47</v>
      </c>
      <c r="F1782">
        <v>76784.95</v>
      </c>
    </row>
    <row r="1783" spans="1:6" x14ac:dyDescent="0.3">
      <c r="A1783">
        <v>2024</v>
      </c>
      <c r="B1783">
        <v>11</v>
      </c>
      <c r="C1783" t="s">
        <v>37</v>
      </c>
      <c r="D1783" t="s">
        <v>48</v>
      </c>
      <c r="E1783" t="s">
        <v>49</v>
      </c>
      <c r="F1783">
        <v>31586.97</v>
      </c>
    </row>
    <row r="1784" spans="1:6" x14ac:dyDescent="0.3">
      <c r="A1784">
        <v>2024</v>
      </c>
      <c r="B1784">
        <v>11</v>
      </c>
      <c r="C1784" t="s">
        <v>40</v>
      </c>
      <c r="D1784" t="s">
        <v>48</v>
      </c>
      <c r="E1784" t="s">
        <v>49</v>
      </c>
      <c r="F1784">
        <v>26202.799999999999</v>
      </c>
    </row>
    <row r="1785" spans="1:6" x14ac:dyDescent="0.3">
      <c r="A1785">
        <v>2024</v>
      </c>
      <c r="B1785">
        <v>11</v>
      </c>
      <c r="C1785" t="s">
        <v>41</v>
      </c>
      <c r="D1785" t="s">
        <v>48</v>
      </c>
      <c r="E1785" t="s">
        <v>49</v>
      </c>
      <c r="F1785">
        <v>54865.75</v>
      </c>
    </row>
    <row r="1786" spans="1:6" x14ac:dyDescent="0.3">
      <c r="A1786">
        <v>2024</v>
      </c>
      <c r="B1786">
        <v>11</v>
      </c>
      <c r="C1786" t="s">
        <v>42</v>
      </c>
      <c r="D1786" t="s">
        <v>48</v>
      </c>
      <c r="E1786" t="s">
        <v>49</v>
      </c>
      <c r="F1786">
        <v>61118.95</v>
      </c>
    </row>
    <row r="1787" spans="1:6" x14ac:dyDescent="0.3">
      <c r="A1787">
        <v>2024</v>
      </c>
      <c r="B1787">
        <v>11</v>
      </c>
      <c r="C1787" t="s">
        <v>43</v>
      </c>
      <c r="D1787" t="s">
        <v>48</v>
      </c>
      <c r="E1787" t="s">
        <v>49</v>
      </c>
      <c r="F1787">
        <v>117766.15</v>
      </c>
    </row>
    <row r="1788" spans="1:6" x14ac:dyDescent="0.3">
      <c r="A1788">
        <v>2024</v>
      </c>
      <c r="B1788">
        <v>11</v>
      </c>
      <c r="C1788" t="s">
        <v>44</v>
      </c>
      <c r="D1788" t="s">
        <v>48</v>
      </c>
      <c r="E1788" t="s">
        <v>49</v>
      </c>
      <c r="F1788">
        <v>92494.67</v>
      </c>
    </row>
    <row r="1789" spans="1:6" x14ac:dyDescent="0.3">
      <c r="A1789">
        <v>2024</v>
      </c>
      <c r="B1789">
        <v>11</v>
      </c>
      <c r="C1789" t="s">
        <v>45</v>
      </c>
      <c r="D1789" t="s">
        <v>48</v>
      </c>
      <c r="E1789" t="s">
        <v>49</v>
      </c>
      <c r="F1789">
        <v>18953.63</v>
      </c>
    </row>
    <row r="1790" spans="1:6" x14ac:dyDescent="0.3">
      <c r="A1790">
        <v>2024</v>
      </c>
      <c r="B1790">
        <v>11</v>
      </c>
      <c r="C1790" t="s">
        <v>37</v>
      </c>
      <c r="D1790" t="s">
        <v>48</v>
      </c>
      <c r="E1790" t="s">
        <v>50</v>
      </c>
      <c r="F1790">
        <v>10327.030000000001</v>
      </c>
    </row>
    <row r="1791" spans="1:6" x14ac:dyDescent="0.3">
      <c r="A1791">
        <v>2024</v>
      </c>
      <c r="B1791">
        <v>11</v>
      </c>
      <c r="C1791" t="s">
        <v>40</v>
      </c>
      <c r="D1791" t="s">
        <v>48</v>
      </c>
      <c r="E1791" t="s">
        <v>50</v>
      </c>
      <c r="F1791">
        <v>33886.42</v>
      </c>
    </row>
    <row r="1792" spans="1:6" x14ac:dyDescent="0.3">
      <c r="A1792">
        <v>2024</v>
      </c>
      <c r="B1792">
        <v>11</v>
      </c>
      <c r="C1792" t="s">
        <v>41</v>
      </c>
      <c r="D1792" t="s">
        <v>48</v>
      </c>
      <c r="E1792" t="s">
        <v>50</v>
      </c>
      <c r="F1792">
        <v>18915.86</v>
      </c>
    </row>
    <row r="1793" spans="1:6" x14ac:dyDescent="0.3">
      <c r="A1793">
        <v>2024</v>
      </c>
      <c r="B1793">
        <v>11</v>
      </c>
      <c r="C1793" t="s">
        <v>42</v>
      </c>
      <c r="D1793" t="s">
        <v>48</v>
      </c>
      <c r="E1793" t="s">
        <v>50</v>
      </c>
      <c r="F1793">
        <v>37850.47</v>
      </c>
    </row>
    <row r="1794" spans="1:6" x14ac:dyDescent="0.3">
      <c r="A1794">
        <v>2024</v>
      </c>
      <c r="B1794">
        <v>11</v>
      </c>
      <c r="C1794" t="s">
        <v>43</v>
      </c>
      <c r="D1794" t="s">
        <v>48</v>
      </c>
      <c r="E1794" t="s">
        <v>50</v>
      </c>
      <c r="F1794">
        <v>85610.06</v>
      </c>
    </row>
    <row r="1795" spans="1:6" x14ac:dyDescent="0.3">
      <c r="A1795">
        <v>2024</v>
      </c>
      <c r="B1795">
        <v>11</v>
      </c>
      <c r="C1795" t="s">
        <v>44</v>
      </c>
      <c r="D1795" t="s">
        <v>48</v>
      </c>
      <c r="E1795" t="s">
        <v>50</v>
      </c>
      <c r="F1795">
        <v>99976.71</v>
      </c>
    </row>
    <row r="1796" spans="1:6" x14ac:dyDescent="0.3">
      <c r="A1796">
        <v>2024</v>
      </c>
      <c r="B1796">
        <v>11</v>
      </c>
      <c r="C1796" t="s">
        <v>45</v>
      </c>
      <c r="D1796" t="s">
        <v>48</v>
      </c>
      <c r="E1796" t="s">
        <v>50</v>
      </c>
      <c r="F1796">
        <v>14067.15</v>
      </c>
    </row>
    <row r="1797" spans="1:6" x14ac:dyDescent="0.3">
      <c r="A1797">
        <v>2024</v>
      </c>
      <c r="B1797">
        <v>11</v>
      </c>
      <c r="C1797" t="s">
        <v>37</v>
      </c>
      <c r="D1797" t="s">
        <v>48</v>
      </c>
      <c r="E1797" t="s">
        <v>51</v>
      </c>
      <c r="F1797">
        <v>55211.25</v>
      </c>
    </row>
    <row r="1798" spans="1:6" x14ac:dyDescent="0.3">
      <c r="A1798">
        <v>2024</v>
      </c>
      <c r="B1798">
        <v>11</v>
      </c>
      <c r="C1798" t="s">
        <v>40</v>
      </c>
      <c r="D1798" t="s">
        <v>48</v>
      </c>
      <c r="E1798" t="s">
        <v>51</v>
      </c>
      <c r="F1798">
        <v>50018.69</v>
      </c>
    </row>
    <row r="1799" spans="1:6" x14ac:dyDescent="0.3">
      <c r="A1799">
        <v>2024</v>
      </c>
      <c r="B1799">
        <v>11</v>
      </c>
      <c r="C1799" t="s">
        <v>41</v>
      </c>
      <c r="D1799" t="s">
        <v>48</v>
      </c>
      <c r="E1799" t="s">
        <v>51</v>
      </c>
      <c r="F1799">
        <v>78800.59</v>
      </c>
    </row>
    <row r="1800" spans="1:6" x14ac:dyDescent="0.3">
      <c r="A1800">
        <v>2024</v>
      </c>
      <c r="B1800">
        <v>11</v>
      </c>
      <c r="C1800" t="s">
        <v>42</v>
      </c>
      <c r="D1800" t="s">
        <v>48</v>
      </c>
      <c r="E1800" t="s">
        <v>51</v>
      </c>
      <c r="F1800">
        <v>78394.8</v>
      </c>
    </row>
    <row r="1801" spans="1:6" x14ac:dyDescent="0.3">
      <c r="A1801">
        <v>2024</v>
      </c>
      <c r="B1801">
        <v>11</v>
      </c>
      <c r="C1801" t="s">
        <v>43</v>
      </c>
      <c r="D1801" t="s">
        <v>48</v>
      </c>
      <c r="E1801" t="s">
        <v>51</v>
      </c>
      <c r="F1801">
        <v>107751.58</v>
      </c>
    </row>
    <row r="1802" spans="1:6" x14ac:dyDescent="0.3">
      <c r="A1802">
        <v>2024</v>
      </c>
      <c r="B1802">
        <v>11</v>
      </c>
      <c r="C1802" t="s">
        <v>44</v>
      </c>
      <c r="D1802" t="s">
        <v>48</v>
      </c>
      <c r="E1802" t="s">
        <v>51</v>
      </c>
      <c r="F1802">
        <v>56835.11</v>
      </c>
    </row>
    <row r="1803" spans="1:6" x14ac:dyDescent="0.3">
      <c r="A1803">
        <v>2024</v>
      </c>
      <c r="B1803">
        <v>11</v>
      </c>
      <c r="C1803" t="s">
        <v>45</v>
      </c>
      <c r="D1803" t="s">
        <v>48</v>
      </c>
      <c r="E1803" t="s">
        <v>51</v>
      </c>
      <c r="F1803">
        <v>39288.61</v>
      </c>
    </row>
    <row r="1804" spans="1:6" x14ac:dyDescent="0.3">
      <c r="A1804">
        <v>2024</v>
      </c>
      <c r="B1804">
        <v>11</v>
      </c>
      <c r="C1804" t="s">
        <v>37</v>
      </c>
      <c r="D1804" t="s">
        <v>48</v>
      </c>
      <c r="E1804" t="s">
        <v>52</v>
      </c>
      <c r="F1804">
        <v>38798.35</v>
      </c>
    </row>
    <row r="1805" spans="1:6" x14ac:dyDescent="0.3">
      <c r="A1805">
        <v>2024</v>
      </c>
      <c r="B1805">
        <v>11</v>
      </c>
      <c r="C1805" t="s">
        <v>40</v>
      </c>
      <c r="D1805" t="s">
        <v>48</v>
      </c>
      <c r="E1805" t="s">
        <v>52</v>
      </c>
      <c r="F1805">
        <v>81764.58</v>
      </c>
    </row>
    <row r="1806" spans="1:6" x14ac:dyDescent="0.3">
      <c r="A1806">
        <v>2024</v>
      </c>
      <c r="B1806">
        <v>11</v>
      </c>
      <c r="C1806" t="s">
        <v>41</v>
      </c>
      <c r="D1806" t="s">
        <v>48</v>
      </c>
      <c r="E1806" t="s">
        <v>52</v>
      </c>
      <c r="F1806">
        <v>50379.62</v>
      </c>
    </row>
    <row r="1807" spans="1:6" x14ac:dyDescent="0.3">
      <c r="A1807">
        <v>2024</v>
      </c>
      <c r="B1807">
        <v>11</v>
      </c>
      <c r="C1807" t="s">
        <v>42</v>
      </c>
      <c r="D1807" t="s">
        <v>48</v>
      </c>
      <c r="E1807" t="s">
        <v>52</v>
      </c>
      <c r="F1807">
        <v>72691.14</v>
      </c>
    </row>
    <row r="1808" spans="1:6" x14ac:dyDescent="0.3">
      <c r="A1808">
        <v>2024</v>
      </c>
      <c r="B1808">
        <v>11</v>
      </c>
      <c r="C1808" t="s">
        <v>43</v>
      </c>
      <c r="D1808" t="s">
        <v>48</v>
      </c>
      <c r="E1808" t="s">
        <v>52</v>
      </c>
      <c r="F1808">
        <v>18384.16</v>
      </c>
    </row>
    <row r="1809" spans="1:6" x14ac:dyDescent="0.3">
      <c r="A1809">
        <v>2024</v>
      </c>
      <c r="B1809">
        <v>11</v>
      </c>
      <c r="C1809" t="s">
        <v>44</v>
      </c>
      <c r="D1809" t="s">
        <v>48</v>
      </c>
      <c r="E1809" t="s">
        <v>52</v>
      </c>
      <c r="F1809">
        <v>12913.34</v>
      </c>
    </row>
    <row r="1810" spans="1:6" x14ac:dyDescent="0.3">
      <c r="A1810">
        <v>2024</v>
      </c>
      <c r="B1810">
        <v>11</v>
      </c>
      <c r="C1810" t="s">
        <v>45</v>
      </c>
      <c r="D1810" t="s">
        <v>48</v>
      </c>
      <c r="E1810" t="s">
        <v>52</v>
      </c>
      <c r="F1810">
        <v>109043.11</v>
      </c>
    </row>
    <row r="1811" spans="1:6" x14ac:dyDescent="0.3">
      <c r="A1811">
        <v>2024</v>
      </c>
      <c r="B1811">
        <v>11</v>
      </c>
      <c r="C1811" t="s">
        <v>37</v>
      </c>
      <c r="D1811" t="s">
        <v>48</v>
      </c>
      <c r="E1811" t="s">
        <v>53</v>
      </c>
      <c r="F1811">
        <v>35814.17</v>
      </c>
    </row>
    <row r="1812" spans="1:6" x14ac:dyDescent="0.3">
      <c r="A1812">
        <v>2024</v>
      </c>
      <c r="B1812">
        <v>11</v>
      </c>
      <c r="C1812" t="s">
        <v>40</v>
      </c>
      <c r="D1812" t="s">
        <v>48</v>
      </c>
      <c r="E1812" t="s">
        <v>53</v>
      </c>
      <c r="F1812">
        <v>71226.52</v>
      </c>
    </row>
    <row r="1813" spans="1:6" x14ac:dyDescent="0.3">
      <c r="A1813">
        <v>2024</v>
      </c>
      <c r="B1813">
        <v>11</v>
      </c>
      <c r="C1813" t="s">
        <v>41</v>
      </c>
      <c r="D1813" t="s">
        <v>48</v>
      </c>
      <c r="E1813" t="s">
        <v>53</v>
      </c>
      <c r="F1813">
        <v>41770.080000000002</v>
      </c>
    </row>
    <row r="1814" spans="1:6" x14ac:dyDescent="0.3">
      <c r="A1814">
        <v>2024</v>
      </c>
      <c r="B1814">
        <v>11</v>
      </c>
      <c r="C1814" t="s">
        <v>42</v>
      </c>
      <c r="D1814" t="s">
        <v>48</v>
      </c>
      <c r="E1814" t="s">
        <v>53</v>
      </c>
      <c r="F1814">
        <v>65121.9</v>
      </c>
    </row>
    <row r="1815" spans="1:6" x14ac:dyDescent="0.3">
      <c r="A1815">
        <v>2024</v>
      </c>
      <c r="B1815">
        <v>11</v>
      </c>
      <c r="C1815" t="s">
        <v>43</v>
      </c>
      <c r="D1815" t="s">
        <v>48</v>
      </c>
      <c r="E1815" t="s">
        <v>53</v>
      </c>
      <c r="F1815">
        <v>107178.76</v>
      </c>
    </row>
    <row r="1816" spans="1:6" x14ac:dyDescent="0.3">
      <c r="A1816">
        <v>2024</v>
      </c>
      <c r="B1816">
        <v>11</v>
      </c>
      <c r="C1816" t="s">
        <v>44</v>
      </c>
      <c r="D1816" t="s">
        <v>48</v>
      </c>
      <c r="E1816" t="s">
        <v>53</v>
      </c>
      <c r="F1816">
        <v>32614.69</v>
      </c>
    </row>
    <row r="1817" spans="1:6" x14ac:dyDescent="0.3">
      <c r="A1817">
        <v>2024</v>
      </c>
      <c r="B1817">
        <v>11</v>
      </c>
      <c r="C1817" t="s">
        <v>45</v>
      </c>
      <c r="D1817" t="s">
        <v>48</v>
      </c>
      <c r="E1817" t="s">
        <v>53</v>
      </c>
      <c r="F1817">
        <v>75749.34</v>
      </c>
    </row>
    <row r="1818" spans="1:6" x14ac:dyDescent="0.3">
      <c r="A1818">
        <v>2024</v>
      </c>
      <c r="B1818">
        <v>11</v>
      </c>
      <c r="C1818" t="s">
        <v>37</v>
      </c>
      <c r="D1818" t="s">
        <v>48</v>
      </c>
      <c r="E1818" t="s">
        <v>54</v>
      </c>
      <c r="F1818">
        <v>27384.13</v>
      </c>
    </row>
    <row r="1819" spans="1:6" x14ac:dyDescent="0.3">
      <c r="A1819">
        <v>2024</v>
      </c>
      <c r="B1819">
        <v>11</v>
      </c>
      <c r="C1819" t="s">
        <v>40</v>
      </c>
      <c r="D1819" t="s">
        <v>48</v>
      </c>
      <c r="E1819" t="s">
        <v>54</v>
      </c>
      <c r="F1819">
        <v>13537</v>
      </c>
    </row>
    <row r="1820" spans="1:6" x14ac:dyDescent="0.3">
      <c r="A1820">
        <v>2024</v>
      </c>
      <c r="B1820">
        <v>11</v>
      </c>
      <c r="C1820" t="s">
        <v>41</v>
      </c>
      <c r="D1820" t="s">
        <v>48</v>
      </c>
      <c r="E1820" t="s">
        <v>54</v>
      </c>
      <c r="F1820">
        <v>89045.21</v>
      </c>
    </row>
    <row r="1821" spans="1:6" x14ac:dyDescent="0.3">
      <c r="A1821">
        <v>2024</v>
      </c>
      <c r="B1821">
        <v>11</v>
      </c>
      <c r="C1821" t="s">
        <v>42</v>
      </c>
      <c r="D1821" t="s">
        <v>48</v>
      </c>
      <c r="E1821" t="s">
        <v>54</v>
      </c>
      <c r="F1821">
        <v>45552.95</v>
      </c>
    </row>
    <row r="1822" spans="1:6" x14ac:dyDescent="0.3">
      <c r="A1822">
        <v>2024</v>
      </c>
      <c r="B1822">
        <v>11</v>
      </c>
      <c r="C1822" t="s">
        <v>43</v>
      </c>
      <c r="D1822" t="s">
        <v>48</v>
      </c>
      <c r="E1822" t="s">
        <v>54</v>
      </c>
      <c r="F1822">
        <v>47356.480000000003</v>
      </c>
    </row>
    <row r="1823" spans="1:6" x14ac:dyDescent="0.3">
      <c r="A1823">
        <v>2024</v>
      </c>
      <c r="B1823">
        <v>11</v>
      </c>
      <c r="C1823" t="s">
        <v>44</v>
      </c>
      <c r="D1823" t="s">
        <v>48</v>
      </c>
      <c r="E1823" t="s">
        <v>54</v>
      </c>
      <c r="F1823">
        <v>39551.620000000003</v>
      </c>
    </row>
    <row r="1824" spans="1:6" x14ac:dyDescent="0.3">
      <c r="A1824">
        <v>2024</v>
      </c>
      <c r="B1824">
        <v>11</v>
      </c>
      <c r="C1824" t="s">
        <v>45</v>
      </c>
      <c r="D1824" t="s">
        <v>48</v>
      </c>
      <c r="E1824" t="s">
        <v>54</v>
      </c>
      <c r="F1824">
        <v>56721.47</v>
      </c>
    </row>
    <row r="1825" spans="1:6" x14ac:dyDescent="0.3">
      <c r="A1825">
        <v>2024</v>
      </c>
      <c r="B1825">
        <v>11</v>
      </c>
      <c r="C1825" t="s">
        <v>37</v>
      </c>
      <c r="D1825" t="s">
        <v>48</v>
      </c>
      <c r="E1825" t="s">
        <v>55</v>
      </c>
      <c r="F1825">
        <v>39718.67</v>
      </c>
    </row>
    <row r="1826" spans="1:6" x14ac:dyDescent="0.3">
      <c r="A1826">
        <v>2024</v>
      </c>
      <c r="B1826">
        <v>11</v>
      </c>
      <c r="C1826" t="s">
        <v>40</v>
      </c>
      <c r="D1826" t="s">
        <v>48</v>
      </c>
      <c r="E1826" t="s">
        <v>55</v>
      </c>
      <c r="F1826">
        <v>22891.27</v>
      </c>
    </row>
    <row r="1827" spans="1:6" x14ac:dyDescent="0.3">
      <c r="A1827">
        <v>2024</v>
      </c>
      <c r="B1827">
        <v>11</v>
      </c>
      <c r="C1827" t="s">
        <v>41</v>
      </c>
      <c r="D1827" t="s">
        <v>48</v>
      </c>
      <c r="E1827" t="s">
        <v>55</v>
      </c>
      <c r="F1827">
        <v>36140.07</v>
      </c>
    </row>
    <row r="1828" spans="1:6" x14ac:dyDescent="0.3">
      <c r="A1828">
        <v>2024</v>
      </c>
      <c r="B1828">
        <v>11</v>
      </c>
      <c r="C1828" t="s">
        <v>42</v>
      </c>
      <c r="D1828" t="s">
        <v>48</v>
      </c>
      <c r="E1828" t="s">
        <v>55</v>
      </c>
      <c r="F1828">
        <v>64542.67</v>
      </c>
    </row>
    <row r="1829" spans="1:6" x14ac:dyDescent="0.3">
      <c r="A1829">
        <v>2024</v>
      </c>
      <c r="B1829">
        <v>11</v>
      </c>
      <c r="C1829" t="s">
        <v>43</v>
      </c>
      <c r="D1829" t="s">
        <v>48</v>
      </c>
      <c r="E1829" t="s">
        <v>55</v>
      </c>
      <c r="F1829">
        <v>45671</v>
      </c>
    </row>
    <row r="1830" spans="1:6" x14ac:dyDescent="0.3">
      <c r="A1830">
        <v>2024</v>
      </c>
      <c r="B1830">
        <v>11</v>
      </c>
      <c r="C1830" t="s">
        <v>44</v>
      </c>
      <c r="D1830" t="s">
        <v>48</v>
      </c>
      <c r="E1830" t="s">
        <v>55</v>
      </c>
      <c r="F1830">
        <v>74937.179999999993</v>
      </c>
    </row>
    <row r="1831" spans="1:6" x14ac:dyDescent="0.3">
      <c r="A1831">
        <v>2024</v>
      </c>
      <c r="B1831">
        <v>11</v>
      </c>
      <c r="C1831" t="s">
        <v>45</v>
      </c>
      <c r="D1831" t="s">
        <v>48</v>
      </c>
      <c r="E1831" t="s">
        <v>55</v>
      </c>
      <c r="F1831">
        <v>73943.91</v>
      </c>
    </row>
    <row r="1832" spans="1:6" x14ac:dyDescent="0.3">
      <c r="A1832">
        <v>2024</v>
      </c>
      <c r="B1832">
        <v>11</v>
      </c>
      <c r="C1832" t="s">
        <v>37</v>
      </c>
      <c r="D1832" t="s">
        <v>48</v>
      </c>
      <c r="E1832" t="s">
        <v>56</v>
      </c>
      <c r="F1832">
        <v>20105.28</v>
      </c>
    </row>
    <row r="1833" spans="1:6" x14ac:dyDescent="0.3">
      <c r="A1833">
        <v>2024</v>
      </c>
      <c r="B1833">
        <v>11</v>
      </c>
      <c r="C1833" t="s">
        <v>40</v>
      </c>
      <c r="D1833" t="s">
        <v>48</v>
      </c>
      <c r="E1833" t="s">
        <v>56</v>
      </c>
      <c r="F1833">
        <v>39798.46</v>
      </c>
    </row>
    <row r="1834" spans="1:6" x14ac:dyDescent="0.3">
      <c r="A1834">
        <v>2024</v>
      </c>
      <c r="B1834">
        <v>11</v>
      </c>
      <c r="C1834" t="s">
        <v>41</v>
      </c>
      <c r="D1834" t="s">
        <v>48</v>
      </c>
      <c r="E1834" t="s">
        <v>56</v>
      </c>
      <c r="F1834">
        <v>22236.78</v>
      </c>
    </row>
    <row r="1835" spans="1:6" x14ac:dyDescent="0.3">
      <c r="A1835">
        <v>2024</v>
      </c>
      <c r="B1835">
        <v>11</v>
      </c>
      <c r="C1835" t="s">
        <v>42</v>
      </c>
      <c r="D1835" t="s">
        <v>48</v>
      </c>
      <c r="E1835" t="s">
        <v>56</v>
      </c>
      <c r="F1835">
        <v>36385.199999999997</v>
      </c>
    </row>
    <row r="1836" spans="1:6" x14ac:dyDescent="0.3">
      <c r="A1836">
        <v>2024</v>
      </c>
      <c r="B1836">
        <v>11</v>
      </c>
      <c r="C1836" t="s">
        <v>43</v>
      </c>
      <c r="D1836" t="s">
        <v>48</v>
      </c>
      <c r="E1836" t="s">
        <v>56</v>
      </c>
      <c r="F1836">
        <v>20096.91</v>
      </c>
    </row>
    <row r="1837" spans="1:6" x14ac:dyDescent="0.3">
      <c r="A1837">
        <v>2024</v>
      </c>
      <c r="B1837">
        <v>11</v>
      </c>
      <c r="C1837" t="s">
        <v>44</v>
      </c>
      <c r="D1837" t="s">
        <v>48</v>
      </c>
      <c r="E1837" t="s">
        <v>56</v>
      </c>
      <c r="F1837">
        <v>75442.62</v>
      </c>
    </row>
    <row r="1838" spans="1:6" x14ac:dyDescent="0.3">
      <c r="A1838">
        <v>2024</v>
      </c>
      <c r="B1838">
        <v>11</v>
      </c>
      <c r="C1838" t="s">
        <v>45</v>
      </c>
      <c r="D1838" t="s">
        <v>48</v>
      </c>
      <c r="E1838" t="s">
        <v>56</v>
      </c>
      <c r="F1838">
        <v>25267.25</v>
      </c>
    </row>
    <row r="1839" spans="1:6" x14ac:dyDescent="0.3">
      <c r="A1839">
        <v>2024</v>
      </c>
      <c r="B1839">
        <v>11</v>
      </c>
      <c r="C1839" t="s">
        <v>37</v>
      </c>
      <c r="D1839" t="s">
        <v>57</v>
      </c>
      <c r="E1839" t="s">
        <v>58</v>
      </c>
      <c r="F1839">
        <v>35824.269999999997</v>
      </c>
    </row>
    <row r="1840" spans="1:6" x14ac:dyDescent="0.3">
      <c r="A1840">
        <v>2024</v>
      </c>
      <c r="B1840">
        <v>11</v>
      </c>
      <c r="C1840" t="s">
        <v>37</v>
      </c>
      <c r="D1840" t="s">
        <v>57</v>
      </c>
      <c r="E1840" t="s">
        <v>59</v>
      </c>
      <c r="F1840">
        <v>27193.69</v>
      </c>
    </row>
    <row r="1841" spans="1:6" x14ac:dyDescent="0.3">
      <c r="A1841">
        <v>2024</v>
      </c>
      <c r="B1841">
        <v>11</v>
      </c>
      <c r="C1841" t="s">
        <v>37</v>
      </c>
      <c r="D1841" t="s">
        <v>57</v>
      </c>
      <c r="E1841" t="s">
        <v>60</v>
      </c>
      <c r="F1841">
        <v>81931.16</v>
      </c>
    </row>
    <row r="1842" spans="1:6" x14ac:dyDescent="0.3">
      <c r="A1842">
        <v>2024</v>
      </c>
      <c r="B1842">
        <v>12</v>
      </c>
      <c r="C1842" t="s">
        <v>37</v>
      </c>
      <c r="D1842" t="s">
        <v>38</v>
      </c>
      <c r="E1842" t="s">
        <v>39</v>
      </c>
      <c r="F1842">
        <v>119453.34</v>
      </c>
    </row>
    <row r="1843" spans="1:6" x14ac:dyDescent="0.3">
      <c r="A1843">
        <v>2024</v>
      </c>
      <c r="B1843">
        <v>12</v>
      </c>
      <c r="C1843" t="s">
        <v>40</v>
      </c>
      <c r="D1843" t="s">
        <v>38</v>
      </c>
      <c r="E1843" t="s">
        <v>39</v>
      </c>
      <c r="F1843">
        <v>16781.96</v>
      </c>
    </row>
    <row r="1844" spans="1:6" x14ac:dyDescent="0.3">
      <c r="A1844">
        <v>2024</v>
      </c>
      <c r="B1844">
        <v>12</v>
      </c>
      <c r="C1844" t="s">
        <v>41</v>
      </c>
      <c r="D1844" t="s">
        <v>38</v>
      </c>
      <c r="E1844" t="s">
        <v>39</v>
      </c>
      <c r="F1844">
        <v>45603.54</v>
      </c>
    </row>
    <row r="1845" spans="1:6" x14ac:dyDescent="0.3">
      <c r="A1845">
        <v>2024</v>
      </c>
      <c r="B1845">
        <v>12</v>
      </c>
      <c r="C1845" t="s">
        <v>42</v>
      </c>
      <c r="D1845" t="s">
        <v>38</v>
      </c>
      <c r="E1845" t="s">
        <v>39</v>
      </c>
      <c r="F1845">
        <v>34026</v>
      </c>
    </row>
    <row r="1846" spans="1:6" x14ac:dyDescent="0.3">
      <c r="A1846">
        <v>2024</v>
      </c>
      <c r="B1846">
        <v>12</v>
      </c>
      <c r="C1846" t="s">
        <v>43</v>
      </c>
      <c r="D1846" t="s">
        <v>38</v>
      </c>
      <c r="E1846" t="s">
        <v>39</v>
      </c>
      <c r="F1846">
        <v>43797.96</v>
      </c>
    </row>
    <row r="1847" spans="1:6" x14ac:dyDescent="0.3">
      <c r="A1847">
        <v>2024</v>
      </c>
      <c r="B1847">
        <v>12</v>
      </c>
      <c r="C1847" t="s">
        <v>44</v>
      </c>
      <c r="D1847" t="s">
        <v>38</v>
      </c>
      <c r="E1847" t="s">
        <v>39</v>
      </c>
      <c r="F1847">
        <v>118093.43</v>
      </c>
    </row>
    <row r="1848" spans="1:6" x14ac:dyDescent="0.3">
      <c r="A1848">
        <v>2024</v>
      </c>
      <c r="B1848">
        <v>12</v>
      </c>
      <c r="C1848" t="s">
        <v>45</v>
      </c>
      <c r="D1848" t="s">
        <v>38</v>
      </c>
      <c r="E1848" t="s">
        <v>39</v>
      </c>
      <c r="F1848">
        <v>99365.96</v>
      </c>
    </row>
    <row r="1849" spans="1:6" x14ac:dyDescent="0.3">
      <c r="A1849">
        <v>2024</v>
      </c>
      <c r="B1849">
        <v>12</v>
      </c>
      <c r="C1849" t="s">
        <v>37</v>
      </c>
      <c r="D1849" t="s">
        <v>38</v>
      </c>
      <c r="E1849" t="s">
        <v>46</v>
      </c>
      <c r="F1849">
        <v>115811.65</v>
      </c>
    </row>
    <row r="1850" spans="1:6" x14ac:dyDescent="0.3">
      <c r="A1850">
        <v>2024</v>
      </c>
      <c r="B1850">
        <v>12</v>
      </c>
      <c r="C1850" t="s">
        <v>40</v>
      </c>
      <c r="D1850" t="s">
        <v>38</v>
      </c>
      <c r="E1850" t="s">
        <v>46</v>
      </c>
      <c r="F1850">
        <v>19325.5</v>
      </c>
    </row>
    <row r="1851" spans="1:6" x14ac:dyDescent="0.3">
      <c r="A1851">
        <v>2024</v>
      </c>
      <c r="B1851">
        <v>12</v>
      </c>
      <c r="C1851" t="s">
        <v>41</v>
      </c>
      <c r="D1851" t="s">
        <v>38</v>
      </c>
      <c r="E1851" t="s">
        <v>46</v>
      </c>
      <c r="F1851">
        <v>58049.85</v>
      </c>
    </row>
    <row r="1852" spans="1:6" x14ac:dyDescent="0.3">
      <c r="A1852">
        <v>2024</v>
      </c>
      <c r="B1852">
        <v>12</v>
      </c>
      <c r="C1852" t="s">
        <v>42</v>
      </c>
      <c r="D1852" t="s">
        <v>38</v>
      </c>
      <c r="E1852" t="s">
        <v>46</v>
      </c>
      <c r="F1852">
        <v>83991.8</v>
      </c>
    </row>
    <row r="1853" spans="1:6" x14ac:dyDescent="0.3">
      <c r="A1853">
        <v>2024</v>
      </c>
      <c r="B1853">
        <v>12</v>
      </c>
      <c r="C1853" t="s">
        <v>43</v>
      </c>
      <c r="D1853" t="s">
        <v>38</v>
      </c>
      <c r="E1853" t="s">
        <v>46</v>
      </c>
      <c r="F1853">
        <v>110897.41</v>
      </c>
    </row>
    <row r="1854" spans="1:6" x14ac:dyDescent="0.3">
      <c r="A1854">
        <v>2024</v>
      </c>
      <c r="B1854">
        <v>12</v>
      </c>
      <c r="C1854" t="s">
        <v>44</v>
      </c>
      <c r="D1854" t="s">
        <v>38</v>
      </c>
      <c r="E1854" t="s">
        <v>46</v>
      </c>
      <c r="F1854">
        <v>35754.620000000003</v>
      </c>
    </row>
    <row r="1855" spans="1:6" x14ac:dyDescent="0.3">
      <c r="A1855">
        <v>2024</v>
      </c>
      <c r="B1855">
        <v>12</v>
      </c>
      <c r="C1855" t="s">
        <v>45</v>
      </c>
      <c r="D1855" t="s">
        <v>38</v>
      </c>
      <c r="E1855" t="s">
        <v>46</v>
      </c>
      <c r="F1855">
        <v>48788.18</v>
      </c>
    </row>
    <row r="1856" spans="1:6" x14ac:dyDescent="0.3">
      <c r="A1856">
        <v>2024</v>
      </c>
      <c r="B1856">
        <v>12</v>
      </c>
      <c r="C1856" t="s">
        <v>37</v>
      </c>
      <c r="D1856" t="s">
        <v>38</v>
      </c>
      <c r="E1856" t="s">
        <v>47</v>
      </c>
      <c r="F1856">
        <v>78308.240000000005</v>
      </c>
    </row>
    <row r="1857" spans="1:6" x14ac:dyDescent="0.3">
      <c r="A1857">
        <v>2024</v>
      </c>
      <c r="B1857">
        <v>12</v>
      </c>
      <c r="C1857" t="s">
        <v>40</v>
      </c>
      <c r="D1857" t="s">
        <v>38</v>
      </c>
      <c r="E1857" t="s">
        <v>47</v>
      </c>
      <c r="F1857">
        <v>38739.54</v>
      </c>
    </row>
    <row r="1858" spans="1:6" x14ac:dyDescent="0.3">
      <c r="A1858">
        <v>2024</v>
      </c>
      <c r="B1858">
        <v>12</v>
      </c>
      <c r="C1858" t="s">
        <v>41</v>
      </c>
      <c r="D1858" t="s">
        <v>38</v>
      </c>
      <c r="E1858" t="s">
        <v>47</v>
      </c>
      <c r="F1858">
        <v>75958.460000000006</v>
      </c>
    </row>
    <row r="1859" spans="1:6" x14ac:dyDescent="0.3">
      <c r="A1859">
        <v>2024</v>
      </c>
      <c r="B1859">
        <v>12</v>
      </c>
      <c r="C1859" t="s">
        <v>42</v>
      </c>
      <c r="D1859" t="s">
        <v>38</v>
      </c>
      <c r="E1859" t="s">
        <v>47</v>
      </c>
      <c r="F1859">
        <v>20967.55</v>
      </c>
    </row>
    <row r="1860" spans="1:6" x14ac:dyDescent="0.3">
      <c r="A1860">
        <v>2024</v>
      </c>
      <c r="B1860">
        <v>12</v>
      </c>
      <c r="C1860" t="s">
        <v>43</v>
      </c>
      <c r="D1860" t="s">
        <v>38</v>
      </c>
      <c r="E1860" t="s">
        <v>47</v>
      </c>
      <c r="F1860">
        <v>77914.179999999993</v>
      </c>
    </row>
    <row r="1861" spans="1:6" x14ac:dyDescent="0.3">
      <c r="A1861">
        <v>2024</v>
      </c>
      <c r="B1861">
        <v>12</v>
      </c>
      <c r="C1861" t="s">
        <v>44</v>
      </c>
      <c r="D1861" t="s">
        <v>38</v>
      </c>
      <c r="E1861" t="s">
        <v>47</v>
      </c>
      <c r="F1861">
        <v>42273.4</v>
      </c>
    </row>
    <row r="1862" spans="1:6" x14ac:dyDescent="0.3">
      <c r="A1862">
        <v>2024</v>
      </c>
      <c r="B1862">
        <v>12</v>
      </c>
      <c r="C1862" t="s">
        <v>45</v>
      </c>
      <c r="D1862" t="s">
        <v>38</v>
      </c>
      <c r="E1862" t="s">
        <v>47</v>
      </c>
      <c r="F1862">
        <v>106303.18</v>
      </c>
    </row>
    <row r="1863" spans="1:6" x14ac:dyDescent="0.3">
      <c r="A1863">
        <v>2024</v>
      </c>
      <c r="B1863">
        <v>12</v>
      </c>
      <c r="C1863" t="s">
        <v>37</v>
      </c>
      <c r="D1863" t="s">
        <v>48</v>
      </c>
      <c r="E1863" t="s">
        <v>49</v>
      </c>
      <c r="F1863">
        <v>116138.78</v>
      </c>
    </row>
    <row r="1864" spans="1:6" x14ac:dyDescent="0.3">
      <c r="A1864">
        <v>2024</v>
      </c>
      <c r="B1864">
        <v>12</v>
      </c>
      <c r="C1864" t="s">
        <v>40</v>
      </c>
      <c r="D1864" t="s">
        <v>48</v>
      </c>
      <c r="E1864" t="s">
        <v>49</v>
      </c>
      <c r="F1864">
        <v>91385.44</v>
      </c>
    </row>
    <row r="1865" spans="1:6" x14ac:dyDescent="0.3">
      <c r="A1865">
        <v>2024</v>
      </c>
      <c r="B1865">
        <v>12</v>
      </c>
      <c r="C1865" t="s">
        <v>41</v>
      </c>
      <c r="D1865" t="s">
        <v>48</v>
      </c>
      <c r="E1865" t="s">
        <v>49</v>
      </c>
      <c r="F1865">
        <v>61595.11</v>
      </c>
    </row>
    <row r="1866" spans="1:6" x14ac:dyDescent="0.3">
      <c r="A1866">
        <v>2024</v>
      </c>
      <c r="B1866">
        <v>12</v>
      </c>
      <c r="C1866" t="s">
        <v>42</v>
      </c>
      <c r="D1866" t="s">
        <v>48</v>
      </c>
      <c r="E1866" t="s">
        <v>49</v>
      </c>
      <c r="F1866">
        <v>56808.84</v>
      </c>
    </row>
    <row r="1867" spans="1:6" x14ac:dyDescent="0.3">
      <c r="A1867">
        <v>2024</v>
      </c>
      <c r="B1867">
        <v>12</v>
      </c>
      <c r="C1867" t="s">
        <v>43</v>
      </c>
      <c r="D1867" t="s">
        <v>48</v>
      </c>
      <c r="E1867" t="s">
        <v>49</v>
      </c>
      <c r="F1867">
        <v>104006.59</v>
      </c>
    </row>
    <row r="1868" spans="1:6" x14ac:dyDescent="0.3">
      <c r="A1868">
        <v>2024</v>
      </c>
      <c r="B1868">
        <v>12</v>
      </c>
      <c r="C1868" t="s">
        <v>44</v>
      </c>
      <c r="D1868" t="s">
        <v>48</v>
      </c>
      <c r="E1868" t="s">
        <v>49</v>
      </c>
      <c r="F1868">
        <v>60462.21</v>
      </c>
    </row>
    <row r="1869" spans="1:6" x14ac:dyDescent="0.3">
      <c r="A1869">
        <v>2024</v>
      </c>
      <c r="B1869">
        <v>12</v>
      </c>
      <c r="C1869" t="s">
        <v>45</v>
      </c>
      <c r="D1869" t="s">
        <v>48</v>
      </c>
      <c r="E1869" t="s">
        <v>49</v>
      </c>
      <c r="F1869">
        <v>27357.83</v>
      </c>
    </row>
    <row r="1870" spans="1:6" x14ac:dyDescent="0.3">
      <c r="A1870">
        <v>2024</v>
      </c>
      <c r="B1870">
        <v>12</v>
      </c>
      <c r="C1870" t="s">
        <v>37</v>
      </c>
      <c r="D1870" t="s">
        <v>48</v>
      </c>
      <c r="E1870" t="s">
        <v>50</v>
      </c>
      <c r="F1870">
        <v>70960.259999999995</v>
      </c>
    </row>
    <row r="1871" spans="1:6" x14ac:dyDescent="0.3">
      <c r="A1871">
        <v>2024</v>
      </c>
      <c r="B1871">
        <v>12</v>
      </c>
      <c r="C1871" t="s">
        <v>40</v>
      </c>
      <c r="D1871" t="s">
        <v>48</v>
      </c>
      <c r="E1871" t="s">
        <v>50</v>
      </c>
      <c r="F1871">
        <v>80580.240000000005</v>
      </c>
    </row>
    <row r="1872" spans="1:6" x14ac:dyDescent="0.3">
      <c r="A1872">
        <v>2024</v>
      </c>
      <c r="B1872">
        <v>12</v>
      </c>
      <c r="C1872" t="s">
        <v>41</v>
      </c>
      <c r="D1872" t="s">
        <v>48</v>
      </c>
      <c r="E1872" t="s">
        <v>50</v>
      </c>
      <c r="F1872">
        <v>76968.479999999996</v>
      </c>
    </row>
    <row r="1873" spans="1:6" x14ac:dyDescent="0.3">
      <c r="A1873">
        <v>2024</v>
      </c>
      <c r="B1873">
        <v>12</v>
      </c>
      <c r="C1873" t="s">
        <v>42</v>
      </c>
      <c r="D1873" t="s">
        <v>48</v>
      </c>
      <c r="E1873" t="s">
        <v>50</v>
      </c>
      <c r="F1873">
        <v>103167.29</v>
      </c>
    </row>
    <row r="1874" spans="1:6" x14ac:dyDescent="0.3">
      <c r="A1874">
        <v>2024</v>
      </c>
      <c r="B1874">
        <v>12</v>
      </c>
      <c r="C1874" t="s">
        <v>43</v>
      </c>
      <c r="D1874" t="s">
        <v>48</v>
      </c>
      <c r="E1874" t="s">
        <v>50</v>
      </c>
      <c r="F1874">
        <v>97691.83</v>
      </c>
    </row>
    <row r="1875" spans="1:6" x14ac:dyDescent="0.3">
      <c r="A1875">
        <v>2024</v>
      </c>
      <c r="B1875">
        <v>12</v>
      </c>
      <c r="C1875" t="s">
        <v>44</v>
      </c>
      <c r="D1875" t="s">
        <v>48</v>
      </c>
      <c r="E1875" t="s">
        <v>50</v>
      </c>
      <c r="F1875">
        <v>40406.18</v>
      </c>
    </row>
    <row r="1876" spans="1:6" x14ac:dyDescent="0.3">
      <c r="A1876">
        <v>2024</v>
      </c>
      <c r="B1876">
        <v>12</v>
      </c>
      <c r="C1876" t="s">
        <v>45</v>
      </c>
      <c r="D1876" t="s">
        <v>48</v>
      </c>
      <c r="E1876" t="s">
        <v>50</v>
      </c>
      <c r="F1876">
        <v>28758.57</v>
      </c>
    </row>
    <row r="1877" spans="1:6" x14ac:dyDescent="0.3">
      <c r="A1877">
        <v>2024</v>
      </c>
      <c r="B1877">
        <v>12</v>
      </c>
      <c r="C1877" t="s">
        <v>37</v>
      </c>
      <c r="D1877" t="s">
        <v>48</v>
      </c>
      <c r="E1877" t="s">
        <v>51</v>
      </c>
      <c r="F1877">
        <v>70279.55</v>
      </c>
    </row>
    <row r="1878" spans="1:6" x14ac:dyDescent="0.3">
      <c r="A1878">
        <v>2024</v>
      </c>
      <c r="B1878">
        <v>12</v>
      </c>
      <c r="C1878" t="s">
        <v>40</v>
      </c>
      <c r="D1878" t="s">
        <v>48</v>
      </c>
      <c r="E1878" t="s">
        <v>51</v>
      </c>
      <c r="F1878">
        <v>102833.48</v>
      </c>
    </row>
    <row r="1879" spans="1:6" x14ac:dyDescent="0.3">
      <c r="A1879">
        <v>2024</v>
      </c>
      <c r="B1879">
        <v>12</v>
      </c>
      <c r="C1879" t="s">
        <v>41</v>
      </c>
      <c r="D1879" t="s">
        <v>48</v>
      </c>
      <c r="E1879" t="s">
        <v>51</v>
      </c>
      <c r="F1879">
        <v>64880.37</v>
      </c>
    </row>
    <row r="1880" spans="1:6" x14ac:dyDescent="0.3">
      <c r="A1880">
        <v>2024</v>
      </c>
      <c r="B1880">
        <v>12</v>
      </c>
      <c r="C1880" t="s">
        <v>42</v>
      </c>
      <c r="D1880" t="s">
        <v>48</v>
      </c>
      <c r="E1880" t="s">
        <v>51</v>
      </c>
      <c r="F1880">
        <v>98933.72</v>
      </c>
    </row>
    <row r="1881" spans="1:6" x14ac:dyDescent="0.3">
      <c r="A1881">
        <v>2024</v>
      </c>
      <c r="B1881">
        <v>12</v>
      </c>
      <c r="C1881" t="s">
        <v>43</v>
      </c>
      <c r="D1881" t="s">
        <v>48</v>
      </c>
      <c r="E1881" t="s">
        <v>51</v>
      </c>
      <c r="F1881">
        <v>52836.19</v>
      </c>
    </row>
    <row r="1882" spans="1:6" x14ac:dyDescent="0.3">
      <c r="A1882">
        <v>2024</v>
      </c>
      <c r="B1882">
        <v>12</v>
      </c>
      <c r="C1882" t="s">
        <v>44</v>
      </c>
      <c r="D1882" t="s">
        <v>48</v>
      </c>
      <c r="E1882" t="s">
        <v>51</v>
      </c>
      <c r="F1882">
        <v>113973.5</v>
      </c>
    </row>
    <row r="1883" spans="1:6" x14ac:dyDescent="0.3">
      <c r="A1883">
        <v>2024</v>
      </c>
      <c r="B1883">
        <v>12</v>
      </c>
      <c r="C1883" t="s">
        <v>45</v>
      </c>
      <c r="D1883" t="s">
        <v>48</v>
      </c>
      <c r="E1883" t="s">
        <v>51</v>
      </c>
      <c r="F1883">
        <v>41948.38</v>
      </c>
    </row>
    <row r="1884" spans="1:6" x14ac:dyDescent="0.3">
      <c r="A1884">
        <v>2024</v>
      </c>
      <c r="B1884">
        <v>12</v>
      </c>
      <c r="C1884" t="s">
        <v>37</v>
      </c>
      <c r="D1884" t="s">
        <v>48</v>
      </c>
      <c r="E1884" t="s">
        <v>52</v>
      </c>
      <c r="F1884">
        <v>53453.25</v>
      </c>
    </row>
    <row r="1885" spans="1:6" x14ac:dyDescent="0.3">
      <c r="A1885">
        <v>2024</v>
      </c>
      <c r="B1885">
        <v>12</v>
      </c>
      <c r="C1885" t="s">
        <v>40</v>
      </c>
      <c r="D1885" t="s">
        <v>48</v>
      </c>
      <c r="E1885" t="s">
        <v>52</v>
      </c>
      <c r="F1885">
        <v>73669.679999999993</v>
      </c>
    </row>
    <row r="1886" spans="1:6" x14ac:dyDescent="0.3">
      <c r="A1886">
        <v>2024</v>
      </c>
      <c r="B1886">
        <v>12</v>
      </c>
      <c r="C1886" t="s">
        <v>41</v>
      </c>
      <c r="D1886" t="s">
        <v>48</v>
      </c>
      <c r="E1886" t="s">
        <v>52</v>
      </c>
      <c r="F1886">
        <v>68810.64</v>
      </c>
    </row>
    <row r="1887" spans="1:6" x14ac:dyDescent="0.3">
      <c r="A1887">
        <v>2024</v>
      </c>
      <c r="B1887">
        <v>12</v>
      </c>
      <c r="C1887" t="s">
        <v>42</v>
      </c>
      <c r="D1887" t="s">
        <v>48</v>
      </c>
      <c r="E1887" t="s">
        <v>52</v>
      </c>
      <c r="F1887">
        <v>94424.85</v>
      </c>
    </row>
    <row r="1888" spans="1:6" x14ac:dyDescent="0.3">
      <c r="A1888">
        <v>2024</v>
      </c>
      <c r="B1888">
        <v>12</v>
      </c>
      <c r="C1888" t="s">
        <v>43</v>
      </c>
      <c r="D1888" t="s">
        <v>48</v>
      </c>
      <c r="E1888" t="s">
        <v>52</v>
      </c>
      <c r="F1888">
        <v>41428.35</v>
      </c>
    </row>
    <row r="1889" spans="1:6" x14ac:dyDescent="0.3">
      <c r="A1889">
        <v>2024</v>
      </c>
      <c r="B1889">
        <v>12</v>
      </c>
      <c r="C1889" t="s">
        <v>44</v>
      </c>
      <c r="D1889" t="s">
        <v>48</v>
      </c>
      <c r="E1889" t="s">
        <v>52</v>
      </c>
      <c r="F1889">
        <v>55909.2</v>
      </c>
    </row>
    <row r="1890" spans="1:6" x14ac:dyDescent="0.3">
      <c r="A1890">
        <v>2024</v>
      </c>
      <c r="B1890">
        <v>12</v>
      </c>
      <c r="C1890" t="s">
        <v>45</v>
      </c>
      <c r="D1890" t="s">
        <v>48</v>
      </c>
      <c r="E1890" t="s">
        <v>52</v>
      </c>
      <c r="F1890">
        <v>19052.009999999998</v>
      </c>
    </row>
    <row r="1891" spans="1:6" x14ac:dyDescent="0.3">
      <c r="A1891">
        <v>2024</v>
      </c>
      <c r="B1891">
        <v>12</v>
      </c>
      <c r="C1891" t="s">
        <v>37</v>
      </c>
      <c r="D1891" t="s">
        <v>48</v>
      </c>
      <c r="E1891" t="s">
        <v>53</v>
      </c>
      <c r="F1891">
        <v>22410.21</v>
      </c>
    </row>
    <row r="1892" spans="1:6" x14ac:dyDescent="0.3">
      <c r="A1892">
        <v>2024</v>
      </c>
      <c r="B1892">
        <v>12</v>
      </c>
      <c r="C1892" t="s">
        <v>40</v>
      </c>
      <c r="D1892" t="s">
        <v>48</v>
      </c>
      <c r="E1892" t="s">
        <v>53</v>
      </c>
      <c r="F1892">
        <v>25005.64</v>
      </c>
    </row>
    <row r="1893" spans="1:6" x14ac:dyDescent="0.3">
      <c r="A1893">
        <v>2024</v>
      </c>
      <c r="B1893">
        <v>12</v>
      </c>
      <c r="C1893" t="s">
        <v>41</v>
      </c>
      <c r="D1893" t="s">
        <v>48</v>
      </c>
      <c r="E1893" t="s">
        <v>53</v>
      </c>
      <c r="F1893">
        <v>108743.65</v>
      </c>
    </row>
    <row r="1894" spans="1:6" x14ac:dyDescent="0.3">
      <c r="A1894">
        <v>2024</v>
      </c>
      <c r="B1894">
        <v>12</v>
      </c>
      <c r="C1894" t="s">
        <v>42</v>
      </c>
      <c r="D1894" t="s">
        <v>48</v>
      </c>
      <c r="E1894" t="s">
        <v>53</v>
      </c>
      <c r="F1894">
        <v>10488.61</v>
      </c>
    </row>
    <row r="1895" spans="1:6" x14ac:dyDescent="0.3">
      <c r="A1895">
        <v>2024</v>
      </c>
      <c r="B1895">
        <v>12</v>
      </c>
      <c r="C1895" t="s">
        <v>43</v>
      </c>
      <c r="D1895" t="s">
        <v>48</v>
      </c>
      <c r="E1895" t="s">
        <v>53</v>
      </c>
      <c r="F1895">
        <v>63478.66</v>
      </c>
    </row>
    <row r="1896" spans="1:6" x14ac:dyDescent="0.3">
      <c r="A1896">
        <v>2024</v>
      </c>
      <c r="B1896">
        <v>12</v>
      </c>
      <c r="C1896" t="s">
        <v>44</v>
      </c>
      <c r="D1896" t="s">
        <v>48</v>
      </c>
      <c r="E1896" t="s">
        <v>53</v>
      </c>
      <c r="F1896">
        <v>36444.300000000003</v>
      </c>
    </row>
    <row r="1897" spans="1:6" x14ac:dyDescent="0.3">
      <c r="A1897">
        <v>2024</v>
      </c>
      <c r="B1897">
        <v>12</v>
      </c>
      <c r="C1897" t="s">
        <v>45</v>
      </c>
      <c r="D1897" t="s">
        <v>48</v>
      </c>
      <c r="E1897" t="s">
        <v>53</v>
      </c>
      <c r="F1897">
        <v>27018.07</v>
      </c>
    </row>
    <row r="1898" spans="1:6" x14ac:dyDescent="0.3">
      <c r="A1898">
        <v>2024</v>
      </c>
      <c r="B1898">
        <v>12</v>
      </c>
      <c r="C1898" t="s">
        <v>37</v>
      </c>
      <c r="D1898" t="s">
        <v>48</v>
      </c>
      <c r="E1898" t="s">
        <v>54</v>
      </c>
      <c r="F1898">
        <v>39070.080000000002</v>
      </c>
    </row>
    <row r="1899" spans="1:6" x14ac:dyDescent="0.3">
      <c r="A1899">
        <v>2024</v>
      </c>
      <c r="B1899">
        <v>12</v>
      </c>
      <c r="C1899" t="s">
        <v>40</v>
      </c>
      <c r="D1899" t="s">
        <v>48</v>
      </c>
      <c r="E1899" t="s">
        <v>54</v>
      </c>
      <c r="F1899">
        <v>63717.14</v>
      </c>
    </row>
    <row r="1900" spans="1:6" x14ac:dyDescent="0.3">
      <c r="A1900">
        <v>2024</v>
      </c>
      <c r="B1900">
        <v>12</v>
      </c>
      <c r="C1900" t="s">
        <v>41</v>
      </c>
      <c r="D1900" t="s">
        <v>48</v>
      </c>
      <c r="E1900" t="s">
        <v>54</v>
      </c>
      <c r="F1900">
        <v>35258.43</v>
      </c>
    </row>
    <row r="1901" spans="1:6" x14ac:dyDescent="0.3">
      <c r="A1901">
        <v>2024</v>
      </c>
      <c r="B1901">
        <v>12</v>
      </c>
      <c r="C1901" t="s">
        <v>42</v>
      </c>
      <c r="D1901" t="s">
        <v>48</v>
      </c>
      <c r="E1901" t="s">
        <v>54</v>
      </c>
      <c r="F1901">
        <v>117276.48</v>
      </c>
    </row>
    <row r="1902" spans="1:6" x14ac:dyDescent="0.3">
      <c r="A1902">
        <v>2024</v>
      </c>
      <c r="B1902">
        <v>12</v>
      </c>
      <c r="C1902" t="s">
        <v>43</v>
      </c>
      <c r="D1902" t="s">
        <v>48</v>
      </c>
      <c r="E1902" t="s">
        <v>54</v>
      </c>
      <c r="F1902">
        <v>19746.29</v>
      </c>
    </row>
    <row r="1903" spans="1:6" x14ac:dyDescent="0.3">
      <c r="A1903">
        <v>2024</v>
      </c>
      <c r="B1903">
        <v>12</v>
      </c>
      <c r="C1903" t="s">
        <v>44</v>
      </c>
      <c r="D1903" t="s">
        <v>48</v>
      </c>
      <c r="E1903" t="s">
        <v>54</v>
      </c>
      <c r="F1903">
        <v>95017.07</v>
      </c>
    </row>
    <row r="1904" spans="1:6" x14ac:dyDescent="0.3">
      <c r="A1904">
        <v>2024</v>
      </c>
      <c r="B1904">
        <v>12</v>
      </c>
      <c r="C1904" t="s">
        <v>45</v>
      </c>
      <c r="D1904" t="s">
        <v>48</v>
      </c>
      <c r="E1904" t="s">
        <v>54</v>
      </c>
      <c r="F1904">
        <v>99954.55</v>
      </c>
    </row>
    <row r="1905" spans="1:6" x14ac:dyDescent="0.3">
      <c r="A1905">
        <v>2024</v>
      </c>
      <c r="B1905">
        <v>12</v>
      </c>
      <c r="C1905" t="s">
        <v>37</v>
      </c>
      <c r="D1905" t="s">
        <v>48</v>
      </c>
      <c r="E1905" t="s">
        <v>55</v>
      </c>
      <c r="F1905">
        <v>14035.49</v>
      </c>
    </row>
    <row r="1906" spans="1:6" x14ac:dyDescent="0.3">
      <c r="A1906">
        <v>2024</v>
      </c>
      <c r="B1906">
        <v>12</v>
      </c>
      <c r="C1906" t="s">
        <v>40</v>
      </c>
      <c r="D1906" t="s">
        <v>48</v>
      </c>
      <c r="E1906" t="s">
        <v>55</v>
      </c>
      <c r="F1906">
        <v>17450.27</v>
      </c>
    </row>
    <row r="1907" spans="1:6" x14ac:dyDescent="0.3">
      <c r="A1907">
        <v>2024</v>
      </c>
      <c r="B1907">
        <v>12</v>
      </c>
      <c r="C1907" t="s">
        <v>41</v>
      </c>
      <c r="D1907" t="s">
        <v>48</v>
      </c>
      <c r="E1907" t="s">
        <v>55</v>
      </c>
      <c r="F1907">
        <v>82608.52</v>
      </c>
    </row>
    <row r="1908" spans="1:6" x14ac:dyDescent="0.3">
      <c r="A1908">
        <v>2024</v>
      </c>
      <c r="B1908">
        <v>12</v>
      </c>
      <c r="C1908" t="s">
        <v>42</v>
      </c>
      <c r="D1908" t="s">
        <v>48</v>
      </c>
      <c r="E1908" t="s">
        <v>55</v>
      </c>
      <c r="F1908">
        <v>106202.99</v>
      </c>
    </row>
    <row r="1909" spans="1:6" x14ac:dyDescent="0.3">
      <c r="A1909">
        <v>2024</v>
      </c>
      <c r="B1909">
        <v>12</v>
      </c>
      <c r="C1909" t="s">
        <v>43</v>
      </c>
      <c r="D1909" t="s">
        <v>48</v>
      </c>
      <c r="E1909" t="s">
        <v>55</v>
      </c>
      <c r="F1909">
        <v>51765.86</v>
      </c>
    </row>
    <row r="1910" spans="1:6" x14ac:dyDescent="0.3">
      <c r="A1910">
        <v>2024</v>
      </c>
      <c r="B1910">
        <v>12</v>
      </c>
      <c r="C1910" t="s">
        <v>44</v>
      </c>
      <c r="D1910" t="s">
        <v>48</v>
      </c>
      <c r="E1910" t="s">
        <v>55</v>
      </c>
      <c r="F1910">
        <v>100525.25</v>
      </c>
    </row>
    <row r="1911" spans="1:6" x14ac:dyDescent="0.3">
      <c r="A1911">
        <v>2024</v>
      </c>
      <c r="B1911">
        <v>12</v>
      </c>
      <c r="C1911" t="s">
        <v>45</v>
      </c>
      <c r="D1911" t="s">
        <v>48</v>
      </c>
      <c r="E1911" t="s">
        <v>55</v>
      </c>
      <c r="F1911">
        <v>75183.38</v>
      </c>
    </row>
    <row r="1912" spans="1:6" x14ac:dyDescent="0.3">
      <c r="A1912">
        <v>2024</v>
      </c>
      <c r="B1912">
        <v>12</v>
      </c>
      <c r="C1912" t="s">
        <v>37</v>
      </c>
      <c r="D1912" t="s">
        <v>48</v>
      </c>
      <c r="E1912" t="s">
        <v>56</v>
      </c>
      <c r="F1912">
        <v>76496.2</v>
      </c>
    </row>
    <row r="1913" spans="1:6" x14ac:dyDescent="0.3">
      <c r="A1913">
        <v>2024</v>
      </c>
      <c r="B1913">
        <v>12</v>
      </c>
      <c r="C1913" t="s">
        <v>40</v>
      </c>
      <c r="D1913" t="s">
        <v>48</v>
      </c>
      <c r="E1913" t="s">
        <v>56</v>
      </c>
      <c r="F1913">
        <v>87509.38</v>
      </c>
    </row>
    <row r="1914" spans="1:6" x14ac:dyDescent="0.3">
      <c r="A1914">
        <v>2024</v>
      </c>
      <c r="B1914">
        <v>12</v>
      </c>
      <c r="C1914" t="s">
        <v>41</v>
      </c>
      <c r="D1914" t="s">
        <v>48</v>
      </c>
      <c r="E1914" t="s">
        <v>56</v>
      </c>
      <c r="F1914">
        <v>52894.8</v>
      </c>
    </row>
    <row r="1915" spans="1:6" x14ac:dyDescent="0.3">
      <c r="A1915">
        <v>2024</v>
      </c>
      <c r="B1915">
        <v>12</v>
      </c>
      <c r="C1915" t="s">
        <v>42</v>
      </c>
      <c r="D1915" t="s">
        <v>48</v>
      </c>
      <c r="E1915" t="s">
        <v>56</v>
      </c>
      <c r="F1915">
        <v>78086.94</v>
      </c>
    </row>
    <row r="1916" spans="1:6" x14ac:dyDescent="0.3">
      <c r="A1916">
        <v>2024</v>
      </c>
      <c r="B1916">
        <v>12</v>
      </c>
      <c r="C1916" t="s">
        <v>43</v>
      </c>
      <c r="D1916" t="s">
        <v>48</v>
      </c>
      <c r="E1916" t="s">
        <v>56</v>
      </c>
      <c r="F1916">
        <v>12567.33</v>
      </c>
    </row>
    <row r="1917" spans="1:6" x14ac:dyDescent="0.3">
      <c r="A1917">
        <v>2024</v>
      </c>
      <c r="B1917">
        <v>12</v>
      </c>
      <c r="C1917" t="s">
        <v>44</v>
      </c>
      <c r="D1917" t="s">
        <v>48</v>
      </c>
      <c r="E1917" t="s">
        <v>56</v>
      </c>
      <c r="F1917">
        <v>49877.37</v>
      </c>
    </row>
    <row r="1918" spans="1:6" x14ac:dyDescent="0.3">
      <c r="A1918">
        <v>2024</v>
      </c>
      <c r="B1918">
        <v>12</v>
      </c>
      <c r="C1918" t="s">
        <v>45</v>
      </c>
      <c r="D1918" t="s">
        <v>48</v>
      </c>
      <c r="E1918" t="s">
        <v>56</v>
      </c>
      <c r="F1918">
        <v>45708.29</v>
      </c>
    </row>
    <row r="1919" spans="1:6" x14ac:dyDescent="0.3">
      <c r="A1919">
        <v>2024</v>
      </c>
      <c r="B1919">
        <v>12</v>
      </c>
      <c r="C1919" t="s">
        <v>37</v>
      </c>
      <c r="D1919" t="s">
        <v>57</v>
      </c>
      <c r="E1919" t="s">
        <v>58</v>
      </c>
      <c r="F1919">
        <v>169431.07</v>
      </c>
    </row>
    <row r="1920" spans="1:6" x14ac:dyDescent="0.3">
      <c r="A1920">
        <v>2024</v>
      </c>
      <c r="B1920">
        <v>12</v>
      </c>
      <c r="C1920" t="s">
        <v>37</v>
      </c>
      <c r="D1920" t="s">
        <v>57</v>
      </c>
      <c r="E1920" t="s">
        <v>59</v>
      </c>
      <c r="F1920">
        <v>47096.01</v>
      </c>
    </row>
    <row r="1921" spans="1:6" x14ac:dyDescent="0.3">
      <c r="A1921">
        <v>2024</v>
      </c>
      <c r="B1921">
        <v>12</v>
      </c>
      <c r="C1921" t="s">
        <v>37</v>
      </c>
      <c r="D1921" t="s">
        <v>57</v>
      </c>
      <c r="E1921" t="s">
        <v>60</v>
      </c>
      <c r="F1921">
        <v>43339.08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workbookViewId="0"/>
  </sheetViews>
  <sheetFormatPr defaultRowHeight="14.4" x14ac:dyDescent="0.3"/>
  <sheetData>
    <row r="1" spans="1:1" x14ac:dyDescent="0.3">
      <c r="A1" t="s">
        <v>61</v>
      </c>
    </row>
    <row r="2" spans="1:1" x14ac:dyDescent="0.3">
      <c r="A2" t="s">
        <v>62</v>
      </c>
    </row>
    <row r="3" spans="1:1" x14ac:dyDescent="0.3">
      <c r="A3" t="s">
        <v>63</v>
      </c>
    </row>
    <row r="4" spans="1:1" x14ac:dyDescent="0.3">
      <c r="A4" t="s">
        <v>64</v>
      </c>
    </row>
    <row r="5" spans="1:1" x14ac:dyDescent="0.3">
      <c r="A5" t="s">
        <v>65</v>
      </c>
    </row>
    <row r="6" spans="1:1" x14ac:dyDescent="0.3">
      <c r="A6" t="s">
        <v>66</v>
      </c>
    </row>
    <row r="7" spans="1:1" x14ac:dyDescent="0.3">
      <c r="A7" t="s">
        <v>67</v>
      </c>
    </row>
    <row r="8" spans="1:1" x14ac:dyDescent="0.3">
      <c r="A8" t="s">
        <v>68</v>
      </c>
    </row>
    <row r="9" spans="1:1" x14ac:dyDescent="0.3">
      <c r="A9" t="s">
        <v>69</v>
      </c>
    </row>
    <row r="10" spans="1:1" x14ac:dyDescent="0.3">
      <c r="A10" t="s">
        <v>70</v>
      </c>
    </row>
    <row r="11" spans="1:1" x14ac:dyDescent="0.3">
      <c r="A11" t="s">
        <v>71</v>
      </c>
    </row>
    <row r="12" spans="1:1" x14ac:dyDescent="0.3">
      <c r="A12" t="s">
        <v>72</v>
      </c>
    </row>
    <row r="13" spans="1:1" x14ac:dyDescent="0.3">
      <c r="A13" t="s">
        <v>73</v>
      </c>
    </row>
    <row r="14" spans="1:1" x14ac:dyDescent="0.3">
      <c r="A14" t="s">
        <v>74</v>
      </c>
    </row>
    <row r="15" spans="1:1" x14ac:dyDescent="0.3">
      <c r="A15" t="s">
        <v>75</v>
      </c>
    </row>
    <row r="16" spans="1:1" x14ac:dyDescent="0.3">
      <c r="A16" t="s">
        <v>76</v>
      </c>
    </row>
    <row r="17" spans="1:1" x14ac:dyDescent="0.3">
      <c r="A17" t="s">
        <v>77</v>
      </c>
    </row>
    <row r="18" spans="1:1" x14ac:dyDescent="0.3">
      <c r="A18" t="s">
        <v>78</v>
      </c>
    </row>
    <row r="19" spans="1:1" x14ac:dyDescent="0.3">
      <c r="A19" t="s">
        <v>79</v>
      </c>
    </row>
    <row r="20" spans="1:1" x14ac:dyDescent="0.3">
      <c r="A20" t="s">
        <v>80</v>
      </c>
    </row>
    <row r="21" spans="1:1" x14ac:dyDescent="0.3">
      <c r="A21" t="s">
        <v>81</v>
      </c>
    </row>
    <row r="22" spans="1:1" x14ac:dyDescent="0.3">
      <c r="A22" t="s">
        <v>82</v>
      </c>
    </row>
    <row r="23" spans="1:1" x14ac:dyDescent="0.3">
      <c r="A23" t="s">
        <v>83</v>
      </c>
    </row>
    <row r="24" spans="1:1" x14ac:dyDescent="0.3">
      <c r="A24" t="s">
        <v>84</v>
      </c>
    </row>
    <row r="25" spans="1:1" x14ac:dyDescent="0.3">
      <c r="A2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PL_Report</vt:lpstr>
      <vt:lpstr>Actuals</vt:lpstr>
      <vt:lpstr>Budget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L1S22BSBA0025 - MUHAMMAD JUNAID</cp:lastModifiedBy>
  <dcterms:created xsi:type="dcterms:W3CDTF">2026-06-18T22:13:19Z</dcterms:created>
  <dcterms:modified xsi:type="dcterms:W3CDTF">2026-06-18T22:13:21Z</dcterms:modified>
</cp:coreProperties>
</file>